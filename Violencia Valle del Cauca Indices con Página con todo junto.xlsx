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 Camilo Gómez\Desktop\universidad\Analítica Computacional\Módulo 1\Proyecto 1\"/>
    </mc:Choice>
  </mc:AlternateContent>
  <xr:revisionPtr revIDLastSave="0" documentId="13_ncr:1_{D5597892-0796-4018-9E4C-F286D4DE4F95}" xr6:coauthVersionLast="47" xr6:coauthVersionMax="47" xr10:uidLastSave="{00000000-0000-0000-0000-000000000000}"/>
  <bookViews>
    <workbookView xWindow="11424" yWindow="0" windowWidth="11712" windowHeight="12336" firstSheet="11" activeTab="13" xr2:uid="{00000000-000D-0000-FFFF-FFFF00000000}"/>
  </bookViews>
  <sheets>
    <sheet name="Habitantes" sheetId="49" r:id="rId1"/>
    <sheet name="Homicidios" sheetId="40" r:id="rId2"/>
    <sheet name="Lesiones Personales" sheetId="41" r:id="rId3"/>
    <sheet name="Violencia Intrafamiliar" sheetId="42" r:id="rId4"/>
    <sheet name="Delitos Sexuales" sheetId="43" r:id="rId5"/>
    <sheet name="Extorsión" sheetId="44" r:id="rId6"/>
    <sheet name="Amenazas" sheetId="45" r:id="rId7"/>
    <sheet name="Hurtos" sheetId="46" r:id="rId8"/>
    <sheet name="Secuestro" sheetId="47" r:id="rId9"/>
    <sheet name="Todos los Datos" sheetId="50" r:id="rId10"/>
    <sheet name="Todos los Datos (2)" sheetId="52" r:id="rId11"/>
    <sheet name="Hoja1" sheetId="51" r:id="rId12"/>
    <sheet name="Indices" sheetId="53" r:id="rId13"/>
    <sheet name="Porcentajes" sheetId="5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54" l="1" a="1"/>
  <c r="M30" i="54" s="1"/>
  <c r="D22" i="54"/>
  <c r="B23" i="54"/>
  <c r="N29" i="54" s="1" a="1"/>
  <c r="N29" i="54" s="1"/>
  <c r="N30" i="54" s="1" a="1"/>
  <c r="C23" i="54"/>
  <c r="D23" i="54"/>
  <c r="E23" i="54"/>
  <c r="F23" i="54"/>
  <c r="G23" i="54"/>
  <c r="H23" i="54"/>
  <c r="B25" i="54"/>
  <c r="C25" i="54"/>
  <c r="D25" i="54"/>
  <c r="E25" i="54"/>
  <c r="F25" i="54"/>
  <c r="G25" i="54"/>
  <c r="H25" i="54"/>
  <c r="B26" i="54"/>
  <c r="C26" i="54"/>
  <c r="D26" i="54"/>
  <c r="E26" i="54"/>
  <c r="F26" i="54"/>
  <c r="G26" i="54"/>
  <c r="H26" i="54"/>
  <c r="B17" i="54"/>
  <c r="C17" i="54"/>
  <c r="D17" i="54"/>
  <c r="E17" i="54"/>
  <c r="F17" i="54"/>
  <c r="G17" i="54"/>
  <c r="H17" i="54"/>
  <c r="B18" i="54"/>
  <c r="C18" i="54"/>
  <c r="D18" i="54"/>
  <c r="E18" i="54"/>
  <c r="F18" i="54"/>
  <c r="G18" i="54"/>
  <c r="H18" i="54"/>
  <c r="B19" i="54"/>
  <c r="C19" i="54"/>
  <c r="D19" i="54"/>
  <c r="E19" i="54"/>
  <c r="F19" i="54"/>
  <c r="G19" i="54"/>
  <c r="H19" i="54"/>
  <c r="B20" i="54"/>
  <c r="C20" i="54"/>
  <c r="D20" i="54"/>
  <c r="E20" i="54"/>
  <c r="F20" i="54"/>
  <c r="G20" i="54"/>
  <c r="H20" i="54"/>
  <c r="C16" i="54"/>
  <c r="D16" i="54"/>
  <c r="E16" i="54"/>
  <c r="F16" i="54"/>
  <c r="G16" i="54"/>
  <c r="H16" i="54"/>
  <c r="B16" i="54"/>
  <c r="H2" i="47"/>
  <c r="B2" i="53"/>
  <c r="N8" i="54" a="1"/>
  <c r="N8" i="54" s="1"/>
  <c r="N9" i="54" s="1" a="1"/>
  <c r="N9" i="54" s="1"/>
  <c r="H9" i="54"/>
  <c r="H22" i="54" s="1"/>
  <c r="G9" i="54"/>
  <c r="G22" i="54" s="1"/>
  <c r="F9" i="54"/>
  <c r="F22" i="54" s="1"/>
  <c r="E9" i="54"/>
  <c r="E22" i="54" s="1"/>
  <c r="D9" i="54"/>
  <c r="C9" i="54"/>
  <c r="C22" i="54" s="1"/>
  <c r="B9" i="54"/>
  <c r="B22" i="54" s="1"/>
  <c r="F43" i="53"/>
  <c r="E43" i="53"/>
  <c r="D43" i="53"/>
  <c r="C43" i="53"/>
  <c r="B43" i="53"/>
  <c r="F42" i="53"/>
  <c r="E42" i="53"/>
  <c r="D42" i="53"/>
  <c r="C42" i="53"/>
  <c r="B42" i="53"/>
  <c r="F41" i="53"/>
  <c r="E41" i="53"/>
  <c r="D41" i="53"/>
  <c r="C41" i="53"/>
  <c r="B41" i="53"/>
  <c r="F40" i="53"/>
  <c r="E40" i="53"/>
  <c r="D40" i="53"/>
  <c r="C40" i="53"/>
  <c r="B40" i="53"/>
  <c r="F39" i="53"/>
  <c r="E39" i="53"/>
  <c r="D39" i="53"/>
  <c r="C39" i="53"/>
  <c r="B39" i="53"/>
  <c r="F38" i="53"/>
  <c r="E38" i="53"/>
  <c r="D38" i="53"/>
  <c r="C38" i="53"/>
  <c r="B38" i="53"/>
  <c r="F37" i="53"/>
  <c r="E37" i="53"/>
  <c r="D37" i="53"/>
  <c r="C37" i="53"/>
  <c r="B37" i="53"/>
  <c r="F36" i="53"/>
  <c r="E36" i="53"/>
  <c r="D36" i="53"/>
  <c r="C36" i="53"/>
  <c r="B36" i="53"/>
  <c r="F35" i="53"/>
  <c r="E35" i="53"/>
  <c r="D35" i="53"/>
  <c r="C35" i="53"/>
  <c r="B35" i="53"/>
  <c r="F34" i="53"/>
  <c r="E34" i="53"/>
  <c r="D34" i="53"/>
  <c r="C34" i="53"/>
  <c r="B34" i="53"/>
  <c r="F33" i="53"/>
  <c r="E33" i="53"/>
  <c r="D33" i="53"/>
  <c r="C33" i="53"/>
  <c r="B33" i="53"/>
  <c r="F32" i="53"/>
  <c r="E32" i="53"/>
  <c r="D32" i="53"/>
  <c r="C32" i="53"/>
  <c r="B32" i="53"/>
  <c r="F31" i="53"/>
  <c r="E31" i="53"/>
  <c r="D31" i="53"/>
  <c r="C31" i="53"/>
  <c r="B31" i="53"/>
  <c r="F30" i="53"/>
  <c r="E30" i="53"/>
  <c r="D30" i="53"/>
  <c r="C30" i="53"/>
  <c r="B30" i="53"/>
  <c r="F29" i="53"/>
  <c r="E29" i="53"/>
  <c r="D29" i="53"/>
  <c r="C29" i="53"/>
  <c r="B29" i="53"/>
  <c r="F28" i="53"/>
  <c r="E28" i="53"/>
  <c r="D28" i="53"/>
  <c r="C28" i="53"/>
  <c r="B28" i="53"/>
  <c r="F27" i="53"/>
  <c r="E27" i="53"/>
  <c r="D27" i="53"/>
  <c r="C27" i="53"/>
  <c r="B27" i="53"/>
  <c r="F26" i="53"/>
  <c r="E26" i="53"/>
  <c r="D26" i="53"/>
  <c r="C26" i="53"/>
  <c r="B26" i="53"/>
  <c r="F25" i="53"/>
  <c r="E25" i="53"/>
  <c r="D25" i="53"/>
  <c r="C25" i="53"/>
  <c r="B25" i="53"/>
  <c r="F24" i="53"/>
  <c r="E24" i="53"/>
  <c r="D24" i="53"/>
  <c r="C24" i="53"/>
  <c r="B24" i="53"/>
  <c r="F23" i="53"/>
  <c r="E23" i="53"/>
  <c r="D23" i="53"/>
  <c r="C23" i="53"/>
  <c r="B23" i="53"/>
  <c r="F22" i="53"/>
  <c r="E22" i="53"/>
  <c r="D22" i="53"/>
  <c r="C22" i="53"/>
  <c r="B22" i="53"/>
  <c r="F21" i="53"/>
  <c r="E21" i="53"/>
  <c r="D21" i="53"/>
  <c r="C21" i="53"/>
  <c r="B21" i="53"/>
  <c r="F20" i="53"/>
  <c r="E20" i="53"/>
  <c r="D20" i="53"/>
  <c r="C20" i="53"/>
  <c r="B20" i="53"/>
  <c r="F19" i="53"/>
  <c r="E19" i="53"/>
  <c r="D19" i="53"/>
  <c r="C19" i="53"/>
  <c r="B19" i="53"/>
  <c r="F18" i="53"/>
  <c r="E18" i="53"/>
  <c r="D18" i="53"/>
  <c r="C18" i="53"/>
  <c r="B18" i="53"/>
  <c r="F17" i="53"/>
  <c r="E17" i="53"/>
  <c r="D17" i="53"/>
  <c r="C17" i="53"/>
  <c r="B17" i="53"/>
  <c r="F16" i="53"/>
  <c r="E16" i="53"/>
  <c r="D16" i="53"/>
  <c r="C16" i="53"/>
  <c r="B16" i="53"/>
  <c r="F15" i="53"/>
  <c r="E15" i="53"/>
  <c r="D15" i="53"/>
  <c r="C15" i="53"/>
  <c r="B15" i="53"/>
  <c r="F14" i="53"/>
  <c r="E14" i="53"/>
  <c r="D14" i="53"/>
  <c r="C14" i="53"/>
  <c r="B14" i="53"/>
  <c r="F13" i="53"/>
  <c r="E13" i="53"/>
  <c r="D13" i="53"/>
  <c r="C13" i="53"/>
  <c r="B13" i="53"/>
  <c r="F12" i="53"/>
  <c r="E12" i="53"/>
  <c r="D12" i="53"/>
  <c r="C12" i="53"/>
  <c r="B12" i="53"/>
  <c r="F11" i="53"/>
  <c r="E11" i="53"/>
  <c r="D11" i="53"/>
  <c r="C11" i="53"/>
  <c r="B11" i="53"/>
  <c r="F10" i="53"/>
  <c r="E10" i="53"/>
  <c r="D10" i="53"/>
  <c r="C10" i="53"/>
  <c r="B10" i="53"/>
  <c r="F9" i="53"/>
  <c r="E9" i="53"/>
  <c r="D9" i="53"/>
  <c r="C9" i="53"/>
  <c r="B9" i="53"/>
  <c r="F8" i="53"/>
  <c r="E8" i="53"/>
  <c r="D8" i="53"/>
  <c r="C8" i="53"/>
  <c r="B8" i="53"/>
  <c r="F7" i="53"/>
  <c r="E7" i="53"/>
  <c r="D7" i="53"/>
  <c r="C7" i="53"/>
  <c r="B7" i="53"/>
  <c r="F6" i="53"/>
  <c r="E6" i="53"/>
  <c r="D6" i="53"/>
  <c r="C6" i="53"/>
  <c r="B6" i="53"/>
  <c r="F5" i="53"/>
  <c r="E5" i="53"/>
  <c r="D5" i="53"/>
  <c r="C5" i="53"/>
  <c r="B5" i="53"/>
  <c r="F4" i="53"/>
  <c r="E4" i="53"/>
  <c r="D4" i="53"/>
  <c r="C4" i="53"/>
  <c r="B4" i="53"/>
  <c r="F3" i="53"/>
  <c r="E3" i="53"/>
  <c r="D3" i="53"/>
  <c r="C3" i="53"/>
  <c r="B3" i="53"/>
  <c r="F2" i="53"/>
  <c r="E2" i="53"/>
  <c r="D2" i="53"/>
  <c r="C2" i="53"/>
  <c r="E30" i="51"/>
  <c r="B3" i="51"/>
  <c r="C3" i="51"/>
  <c r="D3" i="51"/>
  <c r="E3" i="51"/>
  <c r="F3" i="51"/>
  <c r="B4" i="51"/>
  <c r="C4" i="51"/>
  <c r="D4" i="51"/>
  <c r="E4" i="51"/>
  <c r="F4" i="51"/>
  <c r="B5" i="51"/>
  <c r="C5" i="51"/>
  <c r="D5" i="51"/>
  <c r="E5" i="51"/>
  <c r="F5" i="51"/>
  <c r="B6" i="51"/>
  <c r="C6" i="51"/>
  <c r="D6" i="51"/>
  <c r="E6" i="51"/>
  <c r="F6" i="51"/>
  <c r="B7" i="51"/>
  <c r="C7" i="51"/>
  <c r="D7" i="51"/>
  <c r="E7" i="51"/>
  <c r="F7" i="51"/>
  <c r="B8" i="51"/>
  <c r="C8" i="51"/>
  <c r="D8" i="51"/>
  <c r="E8" i="51"/>
  <c r="F8" i="51"/>
  <c r="B9" i="51"/>
  <c r="C9" i="51"/>
  <c r="D9" i="51"/>
  <c r="E9" i="51"/>
  <c r="F9" i="51"/>
  <c r="B10" i="51"/>
  <c r="C10" i="51"/>
  <c r="D10" i="51"/>
  <c r="E10" i="51"/>
  <c r="F10" i="51"/>
  <c r="B11" i="51"/>
  <c r="C11" i="51"/>
  <c r="D11" i="51"/>
  <c r="E11" i="51"/>
  <c r="F11" i="51"/>
  <c r="B12" i="51"/>
  <c r="C12" i="51"/>
  <c r="D12" i="51"/>
  <c r="E12" i="51"/>
  <c r="F12" i="51"/>
  <c r="B13" i="51"/>
  <c r="C13" i="51"/>
  <c r="D13" i="51"/>
  <c r="E13" i="51"/>
  <c r="F13" i="51"/>
  <c r="B14" i="51"/>
  <c r="C14" i="51"/>
  <c r="D14" i="51"/>
  <c r="E14" i="51"/>
  <c r="F14" i="51"/>
  <c r="B15" i="51"/>
  <c r="C15" i="51"/>
  <c r="D15" i="51"/>
  <c r="E15" i="51"/>
  <c r="F15" i="51"/>
  <c r="B16" i="51"/>
  <c r="C16" i="51"/>
  <c r="D16" i="51"/>
  <c r="E16" i="51"/>
  <c r="F16" i="51"/>
  <c r="B17" i="51"/>
  <c r="C17" i="51"/>
  <c r="D17" i="51"/>
  <c r="E17" i="51"/>
  <c r="F17" i="51"/>
  <c r="B18" i="51"/>
  <c r="C18" i="51"/>
  <c r="D18" i="51"/>
  <c r="E18" i="51"/>
  <c r="F18" i="51"/>
  <c r="B19" i="51"/>
  <c r="C19" i="51"/>
  <c r="D19" i="51"/>
  <c r="E19" i="51"/>
  <c r="F19" i="51"/>
  <c r="B20" i="51"/>
  <c r="C20" i="51"/>
  <c r="D20" i="51"/>
  <c r="E20" i="51"/>
  <c r="F20" i="51"/>
  <c r="B21" i="51"/>
  <c r="C21" i="51"/>
  <c r="D21" i="51"/>
  <c r="E21" i="51"/>
  <c r="F21" i="51"/>
  <c r="B22" i="51"/>
  <c r="C22" i="51"/>
  <c r="D22" i="51"/>
  <c r="E22" i="51"/>
  <c r="F22" i="51"/>
  <c r="B23" i="51"/>
  <c r="C23" i="51"/>
  <c r="D23" i="51"/>
  <c r="E23" i="51"/>
  <c r="F23" i="51"/>
  <c r="B24" i="51"/>
  <c r="C24" i="51"/>
  <c r="D24" i="51"/>
  <c r="E24" i="51"/>
  <c r="F24" i="51"/>
  <c r="B25" i="51"/>
  <c r="C25" i="51"/>
  <c r="D25" i="51"/>
  <c r="E25" i="51"/>
  <c r="F25" i="51"/>
  <c r="B26" i="51"/>
  <c r="C26" i="51"/>
  <c r="D26" i="51"/>
  <c r="E26" i="51"/>
  <c r="F26" i="51"/>
  <c r="B27" i="51"/>
  <c r="C27" i="51"/>
  <c r="D27" i="51"/>
  <c r="E27" i="51"/>
  <c r="F27" i="51"/>
  <c r="B28" i="51"/>
  <c r="C28" i="51"/>
  <c r="D28" i="51"/>
  <c r="E28" i="51"/>
  <c r="F28" i="51"/>
  <c r="B29" i="51"/>
  <c r="C29" i="51"/>
  <c r="D29" i="51"/>
  <c r="E29" i="51"/>
  <c r="F29" i="51"/>
  <c r="B30" i="51"/>
  <c r="C30" i="51"/>
  <c r="D30" i="51"/>
  <c r="F30" i="51"/>
  <c r="B31" i="51"/>
  <c r="C31" i="51"/>
  <c r="D31" i="51"/>
  <c r="E31" i="51"/>
  <c r="F31" i="51"/>
  <c r="B32" i="51"/>
  <c r="C32" i="51"/>
  <c r="D32" i="51"/>
  <c r="E32" i="51"/>
  <c r="F32" i="51"/>
  <c r="B33" i="51"/>
  <c r="C33" i="51"/>
  <c r="D33" i="51"/>
  <c r="E33" i="51"/>
  <c r="F33" i="51"/>
  <c r="B34" i="51"/>
  <c r="C34" i="51"/>
  <c r="D34" i="51"/>
  <c r="E34" i="51"/>
  <c r="F34" i="51"/>
  <c r="B35" i="51"/>
  <c r="C35" i="51"/>
  <c r="D35" i="51"/>
  <c r="E35" i="51"/>
  <c r="F35" i="51"/>
  <c r="B36" i="51"/>
  <c r="C36" i="51"/>
  <c r="D36" i="51"/>
  <c r="E36" i="51"/>
  <c r="F36" i="51"/>
  <c r="B37" i="51"/>
  <c r="C37" i="51"/>
  <c r="D37" i="51"/>
  <c r="E37" i="51"/>
  <c r="F37" i="51"/>
  <c r="B38" i="51"/>
  <c r="C38" i="51"/>
  <c r="D38" i="51"/>
  <c r="E38" i="51"/>
  <c r="F38" i="51"/>
  <c r="B39" i="51"/>
  <c r="C39" i="51"/>
  <c r="D39" i="51"/>
  <c r="E39" i="51"/>
  <c r="F39" i="51"/>
  <c r="B40" i="51"/>
  <c r="C40" i="51"/>
  <c r="D40" i="51"/>
  <c r="E40" i="51"/>
  <c r="F40" i="51"/>
  <c r="B41" i="51"/>
  <c r="C41" i="51"/>
  <c r="D41" i="51"/>
  <c r="E41" i="51"/>
  <c r="F41" i="51"/>
  <c r="B42" i="51"/>
  <c r="C42" i="51"/>
  <c r="D42" i="51"/>
  <c r="E42" i="51"/>
  <c r="F42" i="51"/>
  <c r="B43" i="51"/>
  <c r="C43" i="51"/>
  <c r="D43" i="51"/>
  <c r="E43" i="51"/>
  <c r="F43" i="51"/>
  <c r="C2" i="51"/>
  <c r="D2" i="51"/>
  <c r="E2" i="51"/>
  <c r="F2" i="51"/>
  <c r="B2" i="51"/>
  <c r="K15" i="51" a="1"/>
  <c r="K15" i="51" s="1"/>
  <c r="M17" i="51" a="1"/>
  <c r="M17" i="51" s="1"/>
  <c r="P30" i="51" a="1"/>
  <c r="P30" i="51" s="1"/>
  <c r="AR43" i="50"/>
  <c r="AR42" i="50"/>
  <c r="AR41" i="50"/>
  <c r="AR40" i="50"/>
  <c r="AR39" i="50"/>
  <c r="AR38" i="50"/>
  <c r="AR37" i="50"/>
  <c r="AR36" i="50"/>
  <c r="AR35" i="50"/>
  <c r="AR34" i="50"/>
  <c r="AR33" i="50"/>
  <c r="AR32" i="50"/>
  <c r="AR31" i="50"/>
  <c r="AR30" i="50"/>
  <c r="AR29" i="50"/>
  <c r="AR28" i="50"/>
  <c r="AR27" i="50"/>
  <c r="AR26" i="50"/>
  <c r="AR25" i="50"/>
  <c r="AR24" i="50"/>
  <c r="AR23" i="50"/>
  <c r="AR22" i="50"/>
  <c r="AR21" i="50"/>
  <c r="AR20" i="50"/>
  <c r="AR19" i="50"/>
  <c r="AR18" i="50"/>
  <c r="AR17" i="50"/>
  <c r="AR16" i="50"/>
  <c r="AR15" i="50"/>
  <c r="AR14" i="50"/>
  <c r="AR13" i="50"/>
  <c r="AR12" i="50"/>
  <c r="AR11" i="50"/>
  <c r="AR10" i="50"/>
  <c r="AR9" i="50"/>
  <c r="AR8" i="50"/>
  <c r="AR7" i="50"/>
  <c r="AR6" i="50"/>
  <c r="AR5" i="50"/>
  <c r="AR4" i="50"/>
  <c r="AR3" i="50"/>
  <c r="AR2" i="50"/>
  <c r="AL43" i="50"/>
  <c r="AL42" i="50"/>
  <c r="AL41" i="50"/>
  <c r="AL40" i="50"/>
  <c r="AL39" i="50"/>
  <c r="AL38" i="50"/>
  <c r="AL37" i="50"/>
  <c r="AL36" i="50"/>
  <c r="AL35" i="50"/>
  <c r="AL34" i="50"/>
  <c r="AL33" i="50"/>
  <c r="AL32" i="50"/>
  <c r="AL31" i="50"/>
  <c r="AL30" i="50"/>
  <c r="AL29" i="50"/>
  <c r="AL28" i="50"/>
  <c r="AL27" i="50"/>
  <c r="AL26" i="50"/>
  <c r="AL25" i="50"/>
  <c r="AL24" i="50"/>
  <c r="AL23" i="50"/>
  <c r="AL22" i="50"/>
  <c r="AL21" i="50"/>
  <c r="AL20" i="50"/>
  <c r="AL19" i="50"/>
  <c r="AL18" i="50"/>
  <c r="AL17" i="50"/>
  <c r="AL16" i="50"/>
  <c r="AL15" i="50"/>
  <c r="AL14" i="50"/>
  <c r="AL13" i="50"/>
  <c r="AL12" i="50"/>
  <c r="AL11" i="50"/>
  <c r="AL10" i="50"/>
  <c r="AL9" i="50"/>
  <c r="AL8" i="50"/>
  <c r="AL7" i="50"/>
  <c r="AL6" i="50"/>
  <c r="AL5" i="50"/>
  <c r="AL4" i="50"/>
  <c r="AL3" i="50"/>
  <c r="AL2" i="50"/>
  <c r="AF43" i="50"/>
  <c r="AF42" i="50"/>
  <c r="AF41" i="50"/>
  <c r="AF40" i="50"/>
  <c r="AF39" i="50"/>
  <c r="AF38" i="50"/>
  <c r="AF37" i="50"/>
  <c r="AF36" i="50"/>
  <c r="AF35" i="50"/>
  <c r="AF34" i="50"/>
  <c r="AF33" i="50"/>
  <c r="AF32" i="50"/>
  <c r="AF31" i="50"/>
  <c r="AF30" i="50"/>
  <c r="AF29" i="50"/>
  <c r="AF28" i="50"/>
  <c r="AF27" i="50"/>
  <c r="AF26" i="50"/>
  <c r="AF25" i="50"/>
  <c r="AF24" i="50"/>
  <c r="AF23" i="50"/>
  <c r="AF22" i="50"/>
  <c r="AF21" i="50"/>
  <c r="AF20" i="50"/>
  <c r="AF19" i="50"/>
  <c r="AF18" i="50"/>
  <c r="AF17" i="50"/>
  <c r="AF16" i="50"/>
  <c r="AF15" i="50"/>
  <c r="AF14" i="50"/>
  <c r="AF13" i="50"/>
  <c r="AF12" i="50"/>
  <c r="AF11" i="50"/>
  <c r="AF10" i="50"/>
  <c r="AF9" i="50"/>
  <c r="AF8" i="50"/>
  <c r="AF7" i="50"/>
  <c r="AF6" i="50"/>
  <c r="AF5" i="50"/>
  <c r="AF4" i="50"/>
  <c r="AF3" i="50"/>
  <c r="AF2" i="50"/>
  <c r="Z43" i="50"/>
  <c r="Z42" i="50"/>
  <c r="Z41" i="50"/>
  <c r="Z40" i="50"/>
  <c r="Z39" i="50"/>
  <c r="Z38" i="50"/>
  <c r="Z37" i="50"/>
  <c r="Z36" i="50"/>
  <c r="Z35" i="50"/>
  <c r="Z34" i="50"/>
  <c r="Z33" i="50"/>
  <c r="Z32" i="50"/>
  <c r="Z31" i="50"/>
  <c r="Z30" i="50"/>
  <c r="Z29" i="50"/>
  <c r="Z28" i="50"/>
  <c r="Z27" i="50"/>
  <c r="Z26" i="50"/>
  <c r="Z25" i="50"/>
  <c r="Z24" i="50"/>
  <c r="Z23" i="50"/>
  <c r="Z22" i="50"/>
  <c r="Z21" i="50"/>
  <c r="Z20" i="50"/>
  <c r="Z19" i="50"/>
  <c r="Z18" i="50"/>
  <c r="Z17" i="50"/>
  <c r="Z16" i="50"/>
  <c r="Z15" i="50"/>
  <c r="Z14" i="50"/>
  <c r="Z13" i="50"/>
  <c r="Z12" i="50"/>
  <c r="Z11" i="50"/>
  <c r="Z10" i="50"/>
  <c r="Z9" i="50"/>
  <c r="Z8" i="50"/>
  <c r="Z7" i="50"/>
  <c r="Z6" i="50"/>
  <c r="Z5" i="50"/>
  <c r="Z4" i="50"/>
  <c r="Z3" i="50"/>
  <c r="Z2" i="50"/>
  <c r="T43" i="50"/>
  <c r="T42" i="50"/>
  <c r="T41" i="50"/>
  <c r="T40" i="50"/>
  <c r="T39" i="50"/>
  <c r="T38" i="50"/>
  <c r="T37" i="50"/>
  <c r="T36" i="50"/>
  <c r="T35" i="50"/>
  <c r="T34" i="50"/>
  <c r="T33" i="50"/>
  <c r="T32" i="50"/>
  <c r="T31" i="50"/>
  <c r="T30" i="50"/>
  <c r="T29" i="50"/>
  <c r="T28" i="50"/>
  <c r="T27" i="50"/>
  <c r="T26" i="50"/>
  <c r="T25" i="50"/>
  <c r="T24" i="50"/>
  <c r="T23" i="50"/>
  <c r="T22" i="50"/>
  <c r="T21" i="50"/>
  <c r="T20" i="50"/>
  <c r="T19" i="50"/>
  <c r="T18" i="50"/>
  <c r="T17" i="50"/>
  <c r="T16" i="50"/>
  <c r="T15" i="50"/>
  <c r="T14" i="50"/>
  <c r="T13" i="50"/>
  <c r="T12" i="50"/>
  <c r="T11" i="50"/>
  <c r="T10" i="50"/>
  <c r="T9" i="50"/>
  <c r="T8" i="50"/>
  <c r="T7" i="50"/>
  <c r="T6" i="50"/>
  <c r="T5" i="50"/>
  <c r="T4" i="50"/>
  <c r="T3" i="50"/>
  <c r="T2" i="50"/>
  <c r="N43" i="50"/>
  <c r="N42" i="50"/>
  <c r="N41" i="50"/>
  <c r="N40" i="50"/>
  <c r="N39" i="50"/>
  <c r="N38" i="50"/>
  <c r="N37" i="50"/>
  <c r="N36" i="50"/>
  <c r="N35" i="50"/>
  <c r="N34" i="50"/>
  <c r="N33" i="50"/>
  <c r="N32" i="50"/>
  <c r="N31" i="50"/>
  <c r="N30" i="50"/>
  <c r="N29" i="50"/>
  <c r="N28" i="50"/>
  <c r="N27" i="50"/>
  <c r="N26" i="50"/>
  <c r="N25" i="50"/>
  <c r="N24" i="50"/>
  <c r="N23" i="50"/>
  <c r="N22" i="50"/>
  <c r="N21" i="50"/>
  <c r="N20" i="50"/>
  <c r="N19" i="50"/>
  <c r="N18" i="50"/>
  <c r="N17" i="50"/>
  <c r="N16" i="50"/>
  <c r="N15" i="50"/>
  <c r="N14" i="50"/>
  <c r="N13" i="50"/>
  <c r="N12" i="50"/>
  <c r="N11" i="50"/>
  <c r="N10" i="50"/>
  <c r="N9" i="50"/>
  <c r="N8" i="50"/>
  <c r="N7" i="50"/>
  <c r="N6" i="50"/>
  <c r="N5" i="50"/>
  <c r="N4" i="50"/>
  <c r="N3" i="50"/>
  <c r="N2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H5" i="50"/>
  <c r="H4" i="50"/>
  <c r="H3" i="50"/>
  <c r="H2" i="50"/>
  <c r="B43" i="50"/>
  <c r="B42" i="50"/>
  <c r="B41" i="50"/>
  <c r="B40" i="50"/>
  <c r="B39" i="50"/>
  <c r="B38" i="50"/>
  <c r="B37" i="50"/>
  <c r="B36" i="50"/>
  <c r="B35" i="50"/>
  <c r="B34" i="50"/>
  <c r="B33" i="50"/>
  <c r="B32" i="50"/>
  <c r="B31" i="50"/>
  <c r="B30" i="50"/>
  <c r="B29" i="50"/>
  <c r="B28" i="50"/>
  <c r="B27" i="50"/>
  <c r="B26" i="50"/>
  <c r="B25" i="50"/>
  <c r="B24" i="50"/>
  <c r="B23" i="50"/>
  <c r="B22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7" i="50"/>
  <c r="B6" i="50"/>
  <c r="B5" i="50"/>
  <c r="B4" i="50"/>
  <c r="B3" i="50"/>
  <c r="B2" i="50"/>
  <c r="M29" i="54" l="1" a="1"/>
  <c r="M29" i="54" s="1"/>
  <c r="M8" i="54" a="1"/>
  <c r="M8" i="54" s="1"/>
  <c r="M9" i="54" s="1" a="1"/>
  <c r="M9" i="54" s="1"/>
  <c r="N30" i="54"/>
  <c r="N37" i="54" s="1"/>
  <c r="N16" i="54"/>
  <c r="M16" i="54"/>
  <c r="M37" i="5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<sst xmlns="http://schemas.openxmlformats.org/spreadsheetml/2006/main" count="783" uniqueCount="119">
  <si>
    <t>Norte</t>
  </si>
  <si>
    <t>Centro</t>
  </si>
  <si>
    <t>Occidente</t>
  </si>
  <si>
    <t>Oriente</t>
  </si>
  <si>
    <t>Sur</t>
  </si>
  <si>
    <t>CALI</t>
  </si>
  <si>
    <t>ARGELIA</t>
  </si>
  <si>
    <t>CAICEDONIA</t>
  </si>
  <si>
    <t>CALIMA</t>
  </si>
  <si>
    <t>CANDELARIA</t>
  </si>
  <si>
    <t>CARTAGO</t>
  </si>
  <si>
    <t>DAGUA</t>
  </si>
  <si>
    <t>EL CAIRO</t>
  </si>
  <si>
    <t>EL CERRITO</t>
  </si>
  <si>
    <t>EL DOVIO</t>
  </si>
  <si>
    <t>FLORIDA</t>
  </si>
  <si>
    <t>GINEBRA</t>
  </si>
  <si>
    <t>LA CUMBRE</t>
  </si>
  <si>
    <t>OBANDO</t>
  </si>
  <si>
    <t>PALMIRA</t>
  </si>
  <si>
    <t>PRADERA</t>
  </si>
  <si>
    <t>RESTREPO</t>
  </si>
  <si>
    <t>ROLDANILLO</t>
  </si>
  <si>
    <t>SAN PEDRO</t>
  </si>
  <si>
    <t>SEVILLA</t>
  </si>
  <si>
    <t>TORO</t>
  </si>
  <si>
    <t>TRUJILLO</t>
  </si>
  <si>
    <t>ULLOA</t>
  </si>
  <si>
    <t>VERSALLES</t>
  </si>
  <si>
    <t>VIJES</t>
  </si>
  <si>
    <t>YOTOCO</t>
  </si>
  <si>
    <t>YUMBO</t>
  </si>
  <si>
    <t>ZARZAL</t>
  </si>
  <si>
    <t>ANSERMANUEVO</t>
  </si>
  <si>
    <t>BUENAVENTURA</t>
  </si>
  <si>
    <t>GUADALAJARA DE BUGA</t>
  </si>
  <si>
    <t>BUGALAGRANDE</t>
  </si>
  <si>
    <t>LA VICTORIA</t>
  </si>
  <si>
    <t>Habitantes</t>
  </si>
  <si>
    <t>ALCALA</t>
  </si>
  <si>
    <t>ANDALUCIA</t>
  </si>
  <si>
    <t>BOLIVAR</t>
  </si>
  <si>
    <t>EL AGUILA</t>
  </si>
  <si>
    <t>GUACARI</t>
  </si>
  <si>
    <t>JAMUNDI</t>
  </si>
  <si>
    <t>LA UNION</t>
  </si>
  <si>
    <t>RIOFRIO</t>
  </si>
  <si>
    <t>TULUA</t>
  </si>
  <si>
    <t>Region</t>
  </si>
  <si>
    <t>Indice Promedio Homicidios</t>
  </si>
  <si>
    <t xml:space="preserve">Indice Homicidios 2020 </t>
  </si>
  <si>
    <t>Indice Homicidios 2021</t>
  </si>
  <si>
    <t>Indice Homicidios 2022</t>
  </si>
  <si>
    <t>Indice Homicidios 2023</t>
  </si>
  <si>
    <t>Indice Homicidios 2024</t>
  </si>
  <si>
    <t>Indice Promedio Lesiones Personales</t>
  </si>
  <si>
    <t>Indice Lesiones Personales 2020</t>
  </si>
  <si>
    <t>Indice Lesiones Personales 2021</t>
  </si>
  <si>
    <t>Indice Lesiones Personales 2022</t>
  </si>
  <si>
    <t>Indice Lesiones Personales 2023</t>
  </si>
  <si>
    <t>Indice Lesiones Personales 2024</t>
  </si>
  <si>
    <t>Indice Promedio Violencia Intrafamiliar</t>
  </si>
  <si>
    <t>Indice Violencia Intrafamiliar 2020</t>
  </si>
  <si>
    <t>Indice Violencia Intrafamiliar 2021</t>
  </si>
  <si>
    <t>Indice Violencia Intrafamiliar 2022</t>
  </si>
  <si>
    <t>Indice Violencia Intrafamiliar 2023</t>
  </si>
  <si>
    <t>Indice Violencia Intrafamiliar 2024</t>
  </si>
  <si>
    <t>Indice Promedio Delitos Sexuales</t>
  </si>
  <si>
    <t>Indice Delitos Sexuales 2020</t>
  </si>
  <si>
    <t>Indice Delitos Sexuales 2021</t>
  </si>
  <si>
    <t>Indice Delitos Sexuales 2022</t>
  </si>
  <si>
    <t>Indice Delitos Sexuales 2023</t>
  </si>
  <si>
    <t>Indice Delitos Sexuales 2024</t>
  </si>
  <si>
    <t>Indice Promedio Extorsión</t>
  </si>
  <si>
    <t>Indice Extorsión 2020</t>
  </si>
  <si>
    <t>Indice Extorsión 2021</t>
  </si>
  <si>
    <t>Indice Extorsión 2022</t>
  </si>
  <si>
    <t>Indice Extorsión 2023</t>
  </si>
  <si>
    <t>Indice Extorsión 2024</t>
  </si>
  <si>
    <t>Indice Promedio Amenazas</t>
  </si>
  <si>
    <t>Indice Amenazas 2020</t>
  </si>
  <si>
    <t>Indice Amenazas 2021</t>
  </si>
  <si>
    <t>Indice Amenazas 2022</t>
  </si>
  <si>
    <t>Indice Amenazas 2023</t>
  </si>
  <si>
    <t>Indice Amenazas 2024</t>
  </si>
  <si>
    <t>Indice Promedio Hurtos</t>
  </si>
  <si>
    <t>Indice Hurtos 2020</t>
  </si>
  <si>
    <t>Indice Hurtos 2021</t>
  </si>
  <si>
    <t>Indice Hurtos 2022</t>
  </si>
  <si>
    <t>Indice Hurtos 2023</t>
  </si>
  <si>
    <t>Indice Hurtos 2024</t>
  </si>
  <si>
    <t>Indice Promedio Secuestro</t>
  </si>
  <si>
    <t>Indice Secuestro 2020</t>
  </si>
  <si>
    <t>Indice Secuestro 2021</t>
  </si>
  <si>
    <t>Indice Secuestro 2022</t>
  </si>
  <si>
    <t>Indice Secuestro 2023</t>
  </si>
  <si>
    <t>Indice Secuestro 2024</t>
  </si>
  <si>
    <t>Homicidios</t>
  </si>
  <si>
    <t>Extorsión</t>
  </si>
  <si>
    <t>Amenazas</t>
  </si>
  <si>
    <t>Hurtos</t>
  </si>
  <si>
    <t>cole_mcpio_ubicacion</t>
  </si>
  <si>
    <t>CALIMA EL DARIEN</t>
  </si>
  <si>
    <t>lectura critica</t>
  </si>
  <si>
    <t>sociales</t>
  </si>
  <si>
    <t>naturales</t>
  </si>
  <si>
    <t>matematicas</t>
  </si>
  <si>
    <t>ingles</t>
  </si>
  <si>
    <t>global</t>
  </si>
  <si>
    <t>educacion padres</t>
  </si>
  <si>
    <t>recursos hogar</t>
  </si>
  <si>
    <t>promedio</t>
  </si>
  <si>
    <t/>
  </si>
  <si>
    <t>Delitos Sex</t>
  </si>
  <si>
    <t>Violencia Intra</t>
  </si>
  <si>
    <t>Lesiones P</t>
  </si>
  <si>
    <t>Porcentajes</t>
  </si>
  <si>
    <t>Correlaciones con los puntajes</t>
  </si>
  <si>
    <t>Elevar 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</si>
</sst>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0"/>
    <numFmt numFmtId="182" formatCode="0.000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8"/>
      <name val="Calibri"/>
      <family val="2"/>
      <scheme val="minor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sz val="8"/>
      <color rgb="FF89CA78"/>
      <name val="Consolas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25678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5" fillId="2" borderId="2" xfId="0" applyFont="1" applyFill="1" applyBorder="1"/>
    <xf numFmtId="3" fontId="1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3" fontId="2" fillId="2" borderId="4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 wrapText="1"/>
    </xf>
    <xf numFmtId="9" fontId="0" fillId="0" borderId="0" xfId="0" applyNumberFormat="1"/>
    <xf numFmtId="0" fontId="6" fillId="0" borderId="0" xfId="0" applyFont="1" applyAlignment="1">
      <alignment vertical="center"/>
    </xf>
    <xf numFmtId="177" fontId="0" fillId="0" borderId="0" xfId="0" applyNumberFormat="1"/>
    <xf numFmtId="182" fontId="0" fillId="0" borderId="0" xfId="0" applyNumberFormat="1"/>
    <xf numFmtId="10" fontId="0" fillId="0" borderId="0" xfId="1" applyNumberFormat="1" applyFont="1"/>
    <xf numFmtId="0" fontId="0" fillId="0" borderId="2" xfId="0" applyBorder="1"/>
    <xf numFmtId="0" fontId="0" fillId="0" borderId="5" xfId="0" applyBorder="1"/>
    <xf numFmtId="10" fontId="0" fillId="0" borderId="6" xfId="1" applyNumberFormat="1" applyFont="1" applyBorder="1"/>
    <xf numFmtId="0" fontId="0" fillId="0" borderId="7" xfId="0" applyBorder="1"/>
    <xf numFmtId="10" fontId="0" fillId="0" borderId="8" xfId="1" applyNumberFormat="1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14" xfId="0" applyBorder="1"/>
    <xf numFmtId="0" fontId="0" fillId="0" borderId="8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25678"/>
      <color rgb="FF266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289A-48E2-41DE-B936-847BCC03A967}">
  <dimension ref="A1:C43"/>
  <sheetViews>
    <sheetView workbookViewId="0">
      <selection activeCell="C2" sqref="C2"/>
    </sheetView>
  </sheetViews>
  <sheetFormatPr baseColWidth="10" defaultRowHeight="14.4" x14ac:dyDescent="0.3"/>
  <cols>
    <col min="1" max="1" width="24.88671875" bestFit="1" customWidth="1"/>
    <col min="3" max="3" width="24.88671875" bestFit="1" customWidth="1"/>
  </cols>
  <sheetData>
    <row r="1" spans="1:3" x14ac:dyDescent="0.3">
      <c r="B1" s="7" t="s">
        <v>48</v>
      </c>
      <c r="C1" s="7" t="s">
        <v>38</v>
      </c>
    </row>
    <row r="2" spans="1:3" x14ac:dyDescent="0.3">
      <c r="A2" s="1" t="s">
        <v>5</v>
      </c>
      <c r="B2" s="8" t="s">
        <v>4</v>
      </c>
      <c r="C2" s="8">
        <v>2280907</v>
      </c>
    </row>
    <row r="3" spans="1:3" ht="14.4" customHeight="1" x14ac:dyDescent="0.3">
      <c r="A3" s="1" t="s">
        <v>39</v>
      </c>
      <c r="B3" s="2" t="s">
        <v>0</v>
      </c>
      <c r="C3" s="2">
        <v>14177</v>
      </c>
    </row>
    <row r="4" spans="1:3" x14ac:dyDescent="0.3">
      <c r="A4" s="1" t="s">
        <v>40</v>
      </c>
      <c r="B4" s="2" t="s">
        <v>1</v>
      </c>
      <c r="C4" s="2">
        <v>22878</v>
      </c>
    </row>
    <row r="5" spans="1:3" x14ac:dyDescent="0.3">
      <c r="A5" s="1" t="s">
        <v>33</v>
      </c>
      <c r="B5" s="2" t="s">
        <v>0</v>
      </c>
      <c r="C5" s="2">
        <v>17533</v>
      </c>
    </row>
    <row r="6" spans="1:3" x14ac:dyDescent="0.3">
      <c r="A6" s="1" t="s">
        <v>6</v>
      </c>
      <c r="B6" s="2" t="s">
        <v>0</v>
      </c>
      <c r="C6" s="2">
        <v>5242</v>
      </c>
    </row>
    <row r="7" spans="1:3" x14ac:dyDescent="0.3">
      <c r="A7" s="1" t="s">
        <v>41</v>
      </c>
      <c r="B7" s="2" t="s">
        <v>0</v>
      </c>
      <c r="C7" s="2">
        <v>15911</v>
      </c>
    </row>
    <row r="8" spans="1:3" x14ac:dyDescent="0.3">
      <c r="A8" s="1" t="s">
        <v>34</v>
      </c>
      <c r="B8" s="2" t="s">
        <v>2</v>
      </c>
      <c r="C8" s="2">
        <v>315743</v>
      </c>
    </row>
    <row r="9" spans="1:3" x14ac:dyDescent="0.3">
      <c r="A9" s="1" t="s">
        <v>35</v>
      </c>
      <c r="B9" s="2" t="s">
        <v>1</v>
      </c>
      <c r="C9" s="2">
        <v>130564</v>
      </c>
    </row>
    <row r="10" spans="1:3" x14ac:dyDescent="0.3">
      <c r="A10" s="1" t="s">
        <v>36</v>
      </c>
      <c r="B10" s="2" t="s">
        <v>1</v>
      </c>
      <c r="C10" s="2">
        <v>24772</v>
      </c>
    </row>
    <row r="11" spans="1:3" x14ac:dyDescent="0.3">
      <c r="A11" s="1" t="s">
        <v>7</v>
      </c>
      <c r="B11" s="2" t="s">
        <v>3</v>
      </c>
      <c r="C11" s="2">
        <v>28879</v>
      </c>
    </row>
    <row r="12" spans="1:3" x14ac:dyDescent="0.3">
      <c r="A12" s="1" t="s">
        <v>8</v>
      </c>
      <c r="B12" s="2" t="s">
        <v>1</v>
      </c>
      <c r="C12" s="2">
        <v>18495</v>
      </c>
    </row>
    <row r="13" spans="1:3" x14ac:dyDescent="0.3">
      <c r="A13" s="1" t="s">
        <v>9</v>
      </c>
      <c r="B13" s="2" t="s">
        <v>4</v>
      </c>
      <c r="C13" s="2">
        <v>95413</v>
      </c>
    </row>
    <row r="14" spans="1:3" x14ac:dyDescent="0.3">
      <c r="A14" s="1" t="s">
        <v>10</v>
      </c>
      <c r="B14" s="2" t="s">
        <v>0</v>
      </c>
      <c r="C14" s="2">
        <v>139026</v>
      </c>
    </row>
    <row r="15" spans="1:3" x14ac:dyDescent="0.3">
      <c r="A15" s="1" t="s">
        <v>11</v>
      </c>
      <c r="B15" s="2" t="s">
        <v>4</v>
      </c>
      <c r="C15" s="2">
        <v>49631</v>
      </c>
    </row>
    <row r="16" spans="1:3" x14ac:dyDescent="0.3">
      <c r="A16" s="1" t="s">
        <v>42</v>
      </c>
      <c r="B16" s="2" t="s">
        <v>0</v>
      </c>
      <c r="C16" s="2">
        <v>8670</v>
      </c>
    </row>
    <row r="17" spans="1:3" x14ac:dyDescent="0.3">
      <c r="A17" s="1" t="s">
        <v>12</v>
      </c>
      <c r="B17" s="2" t="s">
        <v>0</v>
      </c>
      <c r="C17" s="2">
        <v>6588</v>
      </c>
    </row>
    <row r="18" spans="1:3" x14ac:dyDescent="0.3">
      <c r="A18" s="1" t="s">
        <v>13</v>
      </c>
      <c r="B18" s="2" t="s">
        <v>1</v>
      </c>
      <c r="C18" s="2">
        <v>57851</v>
      </c>
    </row>
    <row r="19" spans="1:3" x14ac:dyDescent="0.3">
      <c r="A19" s="1" t="s">
        <v>14</v>
      </c>
      <c r="B19" s="2" t="s">
        <v>0</v>
      </c>
      <c r="C19" s="2">
        <v>8724</v>
      </c>
    </row>
    <row r="20" spans="1:3" x14ac:dyDescent="0.3">
      <c r="A20" s="1" t="s">
        <v>15</v>
      </c>
      <c r="B20" s="2" t="s">
        <v>4</v>
      </c>
      <c r="C20" s="2">
        <v>58689</v>
      </c>
    </row>
    <row r="21" spans="1:3" x14ac:dyDescent="0.3">
      <c r="A21" s="1" t="s">
        <v>16</v>
      </c>
      <c r="B21" s="2" t="s">
        <v>1</v>
      </c>
      <c r="C21" s="2">
        <v>23340</v>
      </c>
    </row>
    <row r="22" spans="1:3" x14ac:dyDescent="0.3">
      <c r="A22" s="1" t="s">
        <v>43</v>
      </c>
      <c r="B22" s="2" t="s">
        <v>1</v>
      </c>
      <c r="C22" s="2">
        <v>34000</v>
      </c>
    </row>
    <row r="23" spans="1:3" x14ac:dyDescent="0.3">
      <c r="A23" s="1" t="s">
        <v>44</v>
      </c>
      <c r="B23" s="2" t="s">
        <v>4</v>
      </c>
      <c r="C23" s="2">
        <v>169280</v>
      </c>
    </row>
    <row r="24" spans="1:3" x14ac:dyDescent="0.3">
      <c r="A24" s="1" t="s">
        <v>17</v>
      </c>
      <c r="B24" s="2" t="s">
        <v>4</v>
      </c>
      <c r="C24" s="2">
        <v>16716</v>
      </c>
    </row>
    <row r="25" spans="1:3" x14ac:dyDescent="0.3">
      <c r="A25" s="1" t="s">
        <v>45</v>
      </c>
      <c r="B25" s="2" t="s">
        <v>0</v>
      </c>
      <c r="C25" s="2">
        <v>34933</v>
      </c>
    </row>
    <row r="26" spans="1:3" x14ac:dyDescent="0.3">
      <c r="A26" s="1" t="s">
        <v>37</v>
      </c>
      <c r="B26" s="2" t="s">
        <v>0</v>
      </c>
      <c r="C26" s="2">
        <v>12016</v>
      </c>
    </row>
    <row r="27" spans="1:3" x14ac:dyDescent="0.3">
      <c r="A27" s="1" t="s">
        <v>18</v>
      </c>
      <c r="B27" s="2" t="s">
        <v>0</v>
      </c>
      <c r="C27" s="2">
        <v>12193</v>
      </c>
    </row>
    <row r="28" spans="1:3" x14ac:dyDescent="0.3">
      <c r="A28" s="1" t="s">
        <v>19</v>
      </c>
      <c r="B28" s="2" t="s">
        <v>4</v>
      </c>
      <c r="C28" s="2">
        <v>358806</v>
      </c>
    </row>
    <row r="29" spans="1:3" x14ac:dyDescent="0.3">
      <c r="A29" s="1" t="s">
        <v>20</v>
      </c>
      <c r="B29" s="2" t="s">
        <v>4</v>
      </c>
      <c r="C29" s="2">
        <v>48770</v>
      </c>
    </row>
    <row r="30" spans="1:3" x14ac:dyDescent="0.3">
      <c r="A30" s="1" t="s">
        <v>21</v>
      </c>
      <c r="B30" s="2" t="s">
        <v>1</v>
      </c>
      <c r="C30" s="2">
        <v>15496</v>
      </c>
    </row>
    <row r="31" spans="1:3" x14ac:dyDescent="0.3">
      <c r="A31" s="1" t="s">
        <v>46</v>
      </c>
      <c r="B31" s="2" t="s">
        <v>1</v>
      </c>
      <c r="C31" s="2">
        <v>15657</v>
      </c>
    </row>
    <row r="32" spans="1:3" x14ac:dyDescent="0.3">
      <c r="A32" s="1" t="s">
        <v>22</v>
      </c>
      <c r="B32" s="2" t="s">
        <v>0</v>
      </c>
      <c r="C32" s="2">
        <v>37248</v>
      </c>
    </row>
    <row r="33" spans="1:3" x14ac:dyDescent="0.3">
      <c r="A33" s="1" t="s">
        <v>23</v>
      </c>
      <c r="B33" s="2" t="s">
        <v>1</v>
      </c>
      <c r="C33" s="2">
        <v>17420</v>
      </c>
    </row>
    <row r="34" spans="1:3" x14ac:dyDescent="0.3">
      <c r="A34" s="1" t="s">
        <v>24</v>
      </c>
      <c r="B34" s="2" t="s">
        <v>3</v>
      </c>
      <c r="C34" s="2">
        <v>41670</v>
      </c>
    </row>
    <row r="35" spans="1:3" x14ac:dyDescent="0.3">
      <c r="A35" s="1" t="s">
        <v>25</v>
      </c>
      <c r="B35" s="2" t="s">
        <v>0</v>
      </c>
      <c r="C35" s="2">
        <v>14570</v>
      </c>
    </row>
    <row r="36" spans="1:3" x14ac:dyDescent="0.3">
      <c r="A36" s="1" t="s">
        <v>26</v>
      </c>
      <c r="B36" s="2" t="s">
        <v>1</v>
      </c>
      <c r="C36" s="2">
        <v>19220</v>
      </c>
    </row>
    <row r="37" spans="1:3" x14ac:dyDescent="0.3">
      <c r="A37" s="1" t="s">
        <v>47</v>
      </c>
      <c r="B37" s="2" t="s">
        <v>1</v>
      </c>
      <c r="C37" s="2">
        <v>221604</v>
      </c>
    </row>
    <row r="38" spans="1:3" x14ac:dyDescent="0.3">
      <c r="A38" s="1" t="s">
        <v>27</v>
      </c>
      <c r="B38" s="2" t="s">
        <v>0</v>
      </c>
      <c r="C38" s="2">
        <v>5449</v>
      </c>
    </row>
    <row r="39" spans="1:3" x14ac:dyDescent="0.3">
      <c r="A39" s="1" t="s">
        <v>28</v>
      </c>
      <c r="B39" s="2" t="s">
        <v>0</v>
      </c>
      <c r="C39" s="2">
        <v>7037</v>
      </c>
    </row>
    <row r="40" spans="1:3" x14ac:dyDescent="0.3">
      <c r="A40" s="1" t="s">
        <v>29</v>
      </c>
      <c r="B40" s="2" t="s">
        <v>4</v>
      </c>
      <c r="C40" s="2">
        <v>13046</v>
      </c>
    </row>
    <row r="41" spans="1:3" x14ac:dyDescent="0.3">
      <c r="A41" s="1" t="s">
        <v>30</v>
      </c>
      <c r="B41" s="2" t="s">
        <v>1</v>
      </c>
      <c r="C41" s="2">
        <v>16400</v>
      </c>
    </row>
    <row r="42" spans="1:3" x14ac:dyDescent="0.3">
      <c r="A42" s="1" t="s">
        <v>31</v>
      </c>
      <c r="B42" s="2" t="s">
        <v>4</v>
      </c>
      <c r="C42" s="2">
        <v>111474</v>
      </c>
    </row>
    <row r="43" spans="1:3" x14ac:dyDescent="0.3">
      <c r="A43" s="1" t="s">
        <v>32</v>
      </c>
      <c r="B43" s="2" t="s">
        <v>0</v>
      </c>
      <c r="C43" s="2">
        <v>42940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C153-3266-45E1-BC1D-787DA8C04443}">
  <dimension ref="A1:F43"/>
  <sheetViews>
    <sheetView zoomScale="70" workbookViewId="0">
      <selection activeCell="H3" sqref="H3"/>
    </sheetView>
  </sheetViews>
  <sheetFormatPr baseColWidth="10" defaultRowHeight="14.4" x14ac:dyDescent="0.3"/>
  <cols>
    <col min="5" max="5" width="12.21875" customWidth="1"/>
  </cols>
  <sheetData>
    <row r="1" spans="1:6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46.73579413803369</v>
      </c>
      <c r="C2">
        <v>52.698334478345679</v>
      </c>
      <c r="D2">
        <v>43.228417467261927</v>
      </c>
      <c r="E2">
        <v>44.061419426570225</v>
      </c>
      <c r="F2">
        <v>41.650097965414638</v>
      </c>
    </row>
    <row r="3" spans="1:6" x14ac:dyDescent="0.3">
      <c r="A3" s="1" t="s">
        <v>39</v>
      </c>
      <c r="B3">
        <v>77.590463426677005</v>
      </c>
      <c r="C3">
        <v>91.697820413345553</v>
      </c>
      <c r="D3">
        <v>105.8051774000141</v>
      </c>
      <c r="E3">
        <v>134.01989137335119</v>
      </c>
      <c r="F3">
        <v>119.91253438668265</v>
      </c>
    </row>
    <row r="4" spans="1:6" x14ac:dyDescent="0.3">
      <c r="A4" s="1" t="s">
        <v>40</v>
      </c>
      <c r="B4">
        <v>48.081125972550048</v>
      </c>
      <c r="C4">
        <v>65.565171780750063</v>
      </c>
      <c r="D4">
        <v>39.339103068450036</v>
      </c>
      <c r="E4">
        <v>61.194160328700058</v>
      </c>
      <c r="F4">
        <v>61.194160328700058</v>
      </c>
    </row>
    <row r="5" spans="1:6" x14ac:dyDescent="0.3">
      <c r="A5" s="1" t="s">
        <v>33</v>
      </c>
      <c r="B5">
        <v>74.145896309815768</v>
      </c>
      <c r="C5">
        <v>68.442365824445332</v>
      </c>
      <c r="D5">
        <v>205.32709747333598</v>
      </c>
      <c r="E5">
        <v>245.25181087092909</v>
      </c>
      <c r="F5">
        <v>245.25181087092909</v>
      </c>
    </row>
    <row r="6" spans="1:6" x14ac:dyDescent="0.3">
      <c r="A6" s="1" t="s">
        <v>6</v>
      </c>
      <c r="B6">
        <v>38.153376573826783</v>
      </c>
      <c r="C6">
        <v>19.076688286913392</v>
      </c>
      <c r="D6">
        <v>0</v>
      </c>
      <c r="E6">
        <v>76.306753147653566</v>
      </c>
      <c r="F6">
        <v>95.383441434566961</v>
      </c>
    </row>
    <row r="7" spans="1:6" x14ac:dyDescent="0.3">
      <c r="A7" s="1" t="s">
        <v>41</v>
      </c>
      <c r="B7">
        <v>50.279680724027401</v>
      </c>
      <c r="C7">
        <v>37.70976054302055</v>
      </c>
      <c r="D7">
        <v>31.424800452517125</v>
      </c>
      <c r="E7">
        <v>31.424800452517125</v>
      </c>
      <c r="F7">
        <v>157.12400226258563</v>
      </c>
    </row>
    <row r="8" spans="1:6" x14ac:dyDescent="0.3">
      <c r="A8" s="1" t="s">
        <v>34</v>
      </c>
      <c r="B8">
        <v>35.155173669725059</v>
      </c>
      <c r="C8">
        <v>61.125662326639066</v>
      </c>
      <c r="D8">
        <v>34.5217471171174</v>
      </c>
      <c r="E8">
        <v>43.073005577320792</v>
      </c>
      <c r="F8">
        <v>25.020348828002518</v>
      </c>
    </row>
    <row r="9" spans="1:6" x14ac:dyDescent="0.3">
      <c r="A9" s="1" t="s">
        <v>35</v>
      </c>
      <c r="B9">
        <v>45.954474433994058</v>
      </c>
      <c r="C9">
        <v>58.209000949725812</v>
      </c>
      <c r="D9">
        <v>68.165803743757849</v>
      </c>
      <c r="E9">
        <v>56.677185135259343</v>
      </c>
      <c r="F9">
        <v>65.102172114824924</v>
      </c>
    </row>
    <row r="10" spans="1:6" x14ac:dyDescent="0.3">
      <c r="A10" s="1" t="s">
        <v>36</v>
      </c>
      <c r="B10">
        <v>64.589052155659616</v>
      </c>
      <c r="C10">
        <v>44.404973357015983</v>
      </c>
      <c r="D10">
        <v>48.441789116744715</v>
      </c>
      <c r="E10">
        <v>92.846762473760705</v>
      </c>
      <c r="F10">
        <v>48.441789116744715</v>
      </c>
    </row>
    <row r="11" spans="1:6" x14ac:dyDescent="0.3">
      <c r="A11" s="1" t="s">
        <v>7</v>
      </c>
      <c r="B11">
        <v>58.866304234911183</v>
      </c>
      <c r="C11">
        <v>62.329028013435369</v>
      </c>
      <c r="D11">
        <v>55.403580456386997</v>
      </c>
      <c r="E11">
        <v>83.105370684580492</v>
      </c>
      <c r="F11">
        <v>55.403580456386997</v>
      </c>
    </row>
    <row r="12" spans="1:6" x14ac:dyDescent="0.3">
      <c r="A12" s="1" t="s">
        <v>102</v>
      </c>
      <c r="B12">
        <v>32.441200324412002</v>
      </c>
      <c r="C12">
        <v>43.254933765882669</v>
      </c>
      <c r="D12">
        <v>27.034333603676668</v>
      </c>
      <c r="E12">
        <v>32.441200324412002</v>
      </c>
      <c r="F12">
        <v>27.034333603676668</v>
      </c>
    </row>
    <row r="13" spans="1:6" x14ac:dyDescent="0.3">
      <c r="A13" s="1" t="s">
        <v>9</v>
      </c>
      <c r="B13">
        <v>80.701791160533674</v>
      </c>
      <c r="C13">
        <v>60.788362172869526</v>
      </c>
      <c r="D13">
        <v>68.124888642008955</v>
      </c>
      <c r="E13">
        <v>55.547986123484222</v>
      </c>
      <c r="F13">
        <v>59.740286962992464</v>
      </c>
    </row>
    <row r="14" spans="1:6" x14ac:dyDescent="0.3">
      <c r="A14" s="1" t="s">
        <v>10</v>
      </c>
      <c r="B14">
        <v>28.052306762763799</v>
      </c>
      <c r="C14">
        <v>50.350294189576047</v>
      </c>
      <c r="D14">
        <v>78.402600952339853</v>
      </c>
      <c r="E14">
        <v>78.402600952339853</v>
      </c>
      <c r="F14">
        <v>76.964021118351965</v>
      </c>
    </row>
    <row r="15" spans="1:6" x14ac:dyDescent="0.3">
      <c r="A15" s="1" t="s">
        <v>11</v>
      </c>
      <c r="B15">
        <v>22.163567125385345</v>
      </c>
      <c r="C15">
        <v>32.237915818742323</v>
      </c>
      <c r="D15">
        <v>50.371743466784878</v>
      </c>
      <c r="E15">
        <v>48.356873728113477</v>
      </c>
      <c r="F15">
        <v>42.312264512099297</v>
      </c>
    </row>
    <row r="16" spans="1:6" x14ac:dyDescent="0.3">
      <c r="A16" s="1" t="s">
        <v>42</v>
      </c>
      <c r="B16">
        <v>80.738177623990779</v>
      </c>
      <c r="C16">
        <v>46.136101499423297</v>
      </c>
      <c r="D16">
        <v>299.88465974625143</v>
      </c>
      <c r="E16">
        <v>103.80622837370242</v>
      </c>
      <c r="F16">
        <v>173.01038062283737</v>
      </c>
    </row>
    <row r="17" spans="1:6" x14ac:dyDescent="0.3">
      <c r="A17" s="1" t="s">
        <v>12</v>
      </c>
      <c r="B17">
        <v>151.79113539769278</v>
      </c>
      <c r="C17">
        <v>75.895567698846392</v>
      </c>
      <c r="D17">
        <v>91.074681238615668</v>
      </c>
      <c r="E17">
        <v>106.25379477838496</v>
      </c>
      <c r="F17">
        <v>60.716454159077117</v>
      </c>
    </row>
    <row r="18" spans="1:6" x14ac:dyDescent="0.3">
      <c r="A18" s="1" t="s">
        <v>13</v>
      </c>
      <c r="B18">
        <v>44.943043335465248</v>
      </c>
      <c r="C18">
        <v>55.314514874418769</v>
      </c>
      <c r="D18">
        <v>48.400200515116424</v>
      </c>
      <c r="E18">
        <v>44.943043335465248</v>
      </c>
      <c r="F18">
        <v>57.043093464244357</v>
      </c>
    </row>
    <row r="19" spans="1:6" x14ac:dyDescent="0.3">
      <c r="A19" s="1" t="s">
        <v>14</v>
      </c>
      <c r="B19">
        <v>183.40210912425493</v>
      </c>
      <c r="C19">
        <v>57.313159101329667</v>
      </c>
      <c r="D19">
        <v>34.3878954607978</v>
      </c>
      <c r="E19">
        <v>34.3878954607978</v>
      </c>
      <c r="F19">
        <v>80.238422741861527</v>
      </c>
    </row>
    <row r="20" spans="1:6" x14ac:dyDescent="0.3">
      <c r="A20" s="1" t="s">
        <v>15</v>
      </c>
      <c r="B20">
        <v>52.820801172281001</v>
      </c>
      <c r="C20">
        <v>51.116904360271938</v>
      </c>
      <c r="D20">
        <v>71.563666104380715</v>
      </c>
      <c r="E20">
        <v>64.748078856344463</v>
      </c>
      <c r="F20">
        <v>88.602634224471359</v>
      </c>
    </row>
    <row r="21" spans="1:6" x14ac:dyDescent="0.3">
      <c r="A21" s="1" t="s">
        <v>16</v>
      </c>
      <c r="B21">
        <v>4.284490145672665</v>
      </c>
      <c r="C21">
        <v>21.422450728363327</v>
      </c>
      <c r="D21">
        <v>8.5689802913453299</v>
      </c>
      <c r="E21">
        <v>29.991431019708656</v>
      </c>
      <c r="F21">
        <v>12.853470437017995</v>
      </c>
    </row>
    <row r="22" spans="1:6" x14ac:dyDescent="0.3">
      <c r="A22" s="1" t="s">
        <v>43</v>
      </c>
      <c r="B22">
        <v>61.764705882352935</v>
      </c>
      <c r="C22">
        <v>61.764705882352935</v>
      </c>
      <c r="D22">
        <v>55.882352941176464</v>
      </c>
      <c r="E22">
        <v>52.941176470588232</v>
      </c>
      <c r="F22">
        <v>67.647058823529406</v>
      </c>
    </row>
    <row r="23" spans="1:6" x14ac:dyDescent="0.3">
      <c r="A23" s="1" t="s">
        <v>44</v>
      </c>
      <c r="B23">
        <v>60.255198487712661</v>
      </c>
      <c r="C23">
        <v>67.34404536862003</v>
      </c>
      <c r="D23">
        <v>62.618147448015122</v>
      </c>
      <c r="E23">
        <v>67.934782608695656</v>
      </c>
      <c r="F23">
        <v>70.297731568998103</v>
      </c>
    </row>
    <row r="24" spans="1:6" x14ac:dyDescent="0.3">
      <c r="A24" s="1" t="s">
        <v>17</v>
      </c>
      <c r="B24">
        <v>23.929169657812874</v>
      </c>
      <c r="C24">
        <v>41.876046901172529</v>
      </c>
      <c r="D24">
        <v>11.964584828906437</v>
      </c>
      <c r="E24">
        <v>17.946877243359655</v>
      </c>
      <c r="F24">
        <v>5.9822924144532186</v>
      </c>
    </row>
    <row r="25" spans="1:6" x14ac:dyDescent="0.3">
      <c r="A25" s="1" t="s">
        <v>45</v>
      </c>
      <c r="B25">
        <v>108.77966392809093</v>
      </c>
      <c r="C25">
        <v>97.329172988291887</v>
      </c>
      <c r="D25">
        <v>100.19179572324164</v>
      </c>
      <c r="E25">
        <v>100.19179572324164</v>
      </c>
      <c r="F25">
        <v>103.05441845819141</v>
      </c>
    </row>
    <row r="26" spans="1:6" x14ac:dyDescent="0.3">
      <c r="A26" s="1" t="s">
        <v>37</v>
      </c>
      <c r="B26">
        <v>24.966711051930758</v>
      </c>
      <c r="C26">
        <v>74.900133155792275</v>
      </c>
      <c r="D26">
        <v>33.288948069241009</v>
      </c>
      <c r="E26">
        <v>24.966711051930758</v>
      </c>
      <c r="F26">
        <v>91.544607190412776</v>
      </c>
    </row>
    <row r="27" spans="1:6" x14ac:dyDescent="0.3">
      <c r="A27" s="1" t="s">
        <v>18</v>
      </c>
      <c r="B27">
        <v>49.208562289838433</v>
      </c>
      <c r="C27">
        <v>106.61855162798327</v>
      </c>
      <c r="D27">
        <v>164.02854096612811</v>
      </c>
      <c r="E27">
        <v>180.43139506274093</v>
      </c>
      <c r="F27">
        <v>114.81997867628968</v>
      </c>
    </row>
    <row r="28" spans="1:6" x14ac:dyDescent="0.3">
      <c r="A28" s="1" t="s">
        <v>19</v>
      </c>
      <c r="B28">
        <v>31.214639666003354</v>
      </c>
      <c r="C28">
        <v>43.198831680629645</v>
      </c>
      <c r="D28">
        <v>30.935937526128324</v>
      </c>
      <c r="E28">
        <v>32.886852505253536</v>
      </c>
      <c r="F28">
        <v>42.084023121129526</v>
      </c>
    </row>
    <row r="29" spans="1:6" x14ac:dyDescent="0.3">
      <c r="A29" s="1" t="s">
        <v>20</v>
      </c>
      <c r="B29">
        <v>55.361902809103952</v>
      </c>
      <c r="C29">
        <v>59.462784498667212</v>
      </c>
      <c r="D29">
        <v>36.907935206069304</v>
      </c>
      <c r="E29">
        <v>82.017633791265112</v>
      </c>
      <c r="F29">
        <v>108.67336477342629</v>
      </c>
    </row>
    <row r="30" spans="1:6" x14ac:dyDescent="0.3">
      <c r="A30" s="1" t="s">
        <v>21</v>
      </c>
      <c r="B30">
        <v>32.266391326794015</v>
      </c>
      <c r="C30">
        <v>83.892617449664442</v>
      </c>
      <c r="D30">
        <v>109.70573051109965</v>
      </c>
      <c r="E30">
        <v>70.986060918946833</v>
      </c>
      <c r="F30">
        <v>77.439339184305638</v>
      </c>
    </row>
    <row r="31" spans="1:6" x14ac:dyDescent="0.3">
      <c r="A31" s="1" t="s">
        <v>46</v>
      </c>
      <c r="B31">
        <v>31.934597943411895</v>
      </c>
      <c r="C31">
        <v>83.029954652870927</v>
      </c>
      <c r="D31">
        <v>76.643035064188552</v>
      </c>
      <c r="E31">
        <v>57.482276298141414</v>
      </c>
      <c r="F31">
        <v>51.095356709459033</v>
      </c>
    </row>
    <row r="32" spans="1:6" x14ac:dyDescent="0.3">
      <c r="A32" s="1" t="s">
        <v>22</v>
      </c>
      <c r="B32">
        <v>61.748281786941583</v>
      </c>
      <c r="C32">
        <v>53.694158075601379</v>
      </c>
      <c r="D32">
        <v>18.792955326460483</v>
      </c>
      <c r="E32">
        <v>61.748281786941583</v>
      </c>
      <c r="F32">
        <v>59.063573883161517</v>
      </c>
    </row>
    <row r="33" spans="1:6" x14ac:dyDescent="0.3">
      <c r="A33" s="1" t="s">
        <v>23</v>
      </c>
      <c r="B33">
        <v>74.626865671641795</v>
      </c>
      <c r="C33">
        <v>74.626865671641795</v>
      </c>
      <c r="D33">
        <v>34.443168771526985</v>
      </c>
      <c r="E33">
        <v>45.924225028702644</v>
      </c>
      <c r="F33">
        <v>51.66475315729047</v>
      </c>
    </row>
    <row r="34" spans="1:6" x14ac:dyDescent="0.3">
      <c r="A34" s="1" t="s">
        <v>24</v>
      </c>
      <c r="B34">
        <v>35.997120230381569</v>
      </c>
      <c r="C34">
        <v>57.595392368610511</v>
      </c>
      <c r="D34">
        <v>57.595392368610511</v>
      </c>
      <c r="E34">
        <v>57.595392368610511</v>
      </c>
      <c r="F34">
        <v>55.195584353251739</v>
      </c>
    </row>
    <row r="35" spans="1:6" x14ac:dyDescent="0.3">
      <c r="A35" s="1" t="s">
        <v>25</v>
      </c>
      <c r="B35">
        <v>102.95126973232671</v>
      </c>
      <c r="C35">
        <v>171.58544955387782</v>
      </c>
      <c r="D35">
        <v>185.31228551818808</v>
      </c>
      <c r="E35">
        <v>116.67810569663693</v>
      </c>
      <c r="F35">
        <v>178.44886753603294</v>
      </c>
    </row>
    <row r="36" spans="1:6" x14ac:dyDescent="0.3">
      <c r="A36" s="1" t="s">
        <v>26</v>
      </c>
      <c r="B36">
        <v>57.232049947970857</v>
      </c>
      <c r="C36">
        <v>72.840790842872011</v>
      </c>
      <c r="D36">
        <v>72.840790842872011</v>
      </c>
      <c r="E36">
        <v>93.652445369406863</v>
      </c>
      <c r="F36">
        <v>119.66701352757543</v>
      </c>
    </row>
    <row r="37" spans="1:6" x14ac:dyDescent="0.3">
      <c r="A37" s="1" t="s">
        <v>47</v>
      </c>
      <c r="B37">
        <v>66.785798090287173</v>
      </c>
      <c r="C37">
        <v>57.309434847746431</v>
      </c>
      <c r="D37">
        <v>45.125539250194038</v>
      </c>
      <c r="E37">
        <v>55.955668670240613</v>
      </c>
      <c r="F37">
        <v>41.515496110178518</v>
      </c>
    </row>
    <row r="38" spans="1:6" x14ac:dyDescent="0.3">
      <c r="A38" s="1" t="s">
        <v>27</v>
      </c>
      <c r="B38">
        <v>18.351991191044231</v>
      </c>
      <c r="C38">
        <v>18.351991191044231</v>
      </c>
      <c r="D38">
        <v>73.407964764176924</v>
      </c>
      <c r="E38">
        <v>18.351991191044231</v>
      </c>
      <c r="F38">
        <v>128.4639383373096</v>
      </c>
    </row>
    <row r="39" spans="1:6" x14ac:dyDescent="0.3">
      <c r="A39" s="1" t="s">
        <v>28</v>
      </c>
      <c r="B39">
        <v>28.421202216853771</v>
      </c>
      <c r="C39">
        <v>14.210601108426886</v>
      </c>
      <c r="D39">
        <v>28.421202216853771</v>
      </c>
      <c r="E39">
        <v>42.631803325280657</v>
      </c>
      <c r="F39">
        <v>42.631803325280657</v>
      </c>
    </row>
    <row r="40" spans="1:6" x14ac:dyDescent="0.3">
      <c r="A40" s="1" t="s">
        <v>29</v>
      </c>
      <c r="B40">
        <v>15.330369461904032</v>
      </c>
      <c r="C40">
        <v>15.330369461904032</v>
      </c>
      <c r="D40">
        <v>30.660738923808065</v>
      </c>
      <c r="E40">
        <v>15.330369461904032</v>
      </c>
      <c r="F40">
        <v>45.991108385712096</v>
      </c>
    </row>
    <row r="41" spans="1:6" x14ac:dyDescent="0.3">
      <c r="A41" s="1" t="s">
        <v>30</v>
      </c>
      <c r="B41">
        <v>54.878048780487802</v>
      </c>
      <c r="C41">
        <v>54.878048780487802</v>
      </c>
      <c r="D41">
        <v>48.780487804878049</v>
      </c>
      <c r="E41">
        <v>54.878048780487802</v>
      </c>
      <c r="F41">
        <v>79.268292682926827</v>
      </c>
    </row>
    <row r="42" spans="1:6" x14ac:dyDescent="0.3">
      <c r="A42" s="1" t="s">
        <v>31</v>
      </c>
      <c r="B42">
        <v>66.383192493316827</v>
      </c>
      <c r="C42">
        <v>99.574788739975233</v>
      </c>
      <c r="D42">
        <v>53.824210129716342</v>
      </c>
      <c r="E42">
        <v>53.824210129716342</v>
      </c>
      <c r="F42">
        <v>39.471087428458652</v>
      </c>
    </row>
    <row r="43" spans="1:6" x14ac:dyDescent="0.3">
      <c r="A43" s="1" t="s">
        <v>32</v>
      </c>
      <c r="B43">
        <v>58.220773171867719</v>
      </c>
      <c r="C43">
        <v>60.549604098742428</v>
      </c>
      <c r="D43">
        <v>53.563111318118303</v>
      </c>
      <c r="E43">
        <v>60.549604098742428</v>
      </c>
      <c r="F43">
        <v>86.166744294364221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4809-B28A-48F6-838D-6EFF001D41F1}">
  <dimension ref="A1:F43"/>
  <sheetViews>
    <sheetView topLeftCell="A3" zoomScale="74" workbookViewId="0">
      <selection activeCell="A2" sqref="A2:A43"/>
    </sheetView>
  </sheetViews>
  <sheetFormatPr baseColWidth="10" defaultRowHeight="14.4" x14ac:dyDescent="0.3"/>
  <cols>
    <col min="1" max="1" width="22.44140625" bestFit="1" customWidth="1"/>
    <col min="2" max="2" width="20.88671875" bestFit="1" customWidth="1"/>
    <col min="7" max="7" width="12.6640625" bestFit="1" customWidth="1"/>
  </cols>
  <sheetData>
    <row r="1" spans="1:6" ht="25.2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206.27759044976409</v>
      </c>
      <c r="C2">
        <v>214.16918795900054</v>
      </c>
      <c r="D2">
        <v>181.24368946213065</v>
      </c>
      <c r="E2">
        <v>201.93721181968402</v>
      </c>
      <c r="F2">
        <v>202.68252936222302</v>
      </c>
    </row>
    <row r="3" spans="1:6" x14ac:dyDescent="0.3">
      <c r="A3" s="1" t="s">
        <v>39</v>
      </c>
      <c r="B3">
        <v>183.39564082669111</v>
      </c>
      <c r="C3">
        <v>162.23460534668828</v>
      </c>
      <c r="D3">
        <v>225.71771178669675</v>
      </c>
      <c r="E3">
        <v>176.34196233335683</v>
      </c>
      <c r="F3">
        <v>218.66403329336248</v>
      </c>
    </row>
    <row r="4" spans="1:6" x14ac:dyDescent="0.3">
      <c r="A4" s="1" t="s">
        <v>40</v>
      </c>
      <c r="B4">
        <v>100.53326339715009</v>
      </c>
      <c r="C4">
        <v>100.53326339715009</v>
      </c>
      <c r="D4">
        <v>170.46944662995017</v>
      </c>
      <c r="E4">
        <v>118.01730920535012</v>
      </c>
      <c r="F4">
        <v>74.307194684850074</v>
      </c>
    </row>
    <row r="5" spans="1:6" x14ac:dyDescent="0.3">
      <c r="A5" s="1" t="s">
        <v>33</v>
      </c>
      <c r="B5">
        <v>85.552957280556654</v>
      </c>
      <c r="C5">
        <v>91.256487765927105</v>
      </c>
      <c r="D5">
        <v>193.92003650259508</v>
      </c>
      <c r="E5">
        <v>131.1812011635202</v>
      </c>
      <c r="F5">
        <v>159.69885359037244</v>
      </c>
    </row>
    <row r="6" spans="1:6" x14ac:dyDescent="0.3">
      <c r="A6" s="1" t="s">
        <v>6</v>
      </c>
      <c r="B6">
        <v>57.230064860740171</v>
      </c>
      <c r="C6">
        <v>95.383441434566961</v>
      </c>
      <c r="D6">
        <v>152.61350629530713</v>
      </c>
      <c r="E6">
        <v>152.61350629530713</v>
      </c>
      <c r="F6">
        <v>133.53681800839374</v>
      </c>
    </row>
    <row r="7" spans="1:6" x14ac:dyDescent="0.3">
      <c r="A7" s="1" t="s">
        <v>41</v>
      </c>
      <c r="B7">
        <v>100.5593614480548</v>
      </c>
      <c r="C7">
        <v>157.12400226258563</v>
      </c>
      <c r="D7">
        <v>169.69392244359247</v>
      </c>
      <c r="E7">
        <v>226.2585632581233</v>
      </c>
      <c r="F7">
        <v>169.69392244359247</v>
      </c>
    </row>
    <row r="8" spans="1:6" x14ac:dyDescent="0.3">
      <c r="A8" s="1" t="s">
        <v>34</v>
      </c>
      <c r="B8">
        <v>83.295591667907118</v>
      </c>
      <c r="C8">
        <v>123.20146448218962</v>
      </c>
      <c r="D8">
        <v>102.61510152244071</v>
      </c>
      <c r="E8">
        <v>118.76747861393601</v>
      </c>
      <c r="F8">
        <v>72.210626997273096</v>
      </c>
    </row>
    <row r="9" spans="1:6" x14ac:dyDescent="0.3">
      <c r="A9" s="1" t="s">
        <v>35</v>
      </c>
      <c r="B9">
        <v>240.49508287123558</v>
      </c>
      <c r="C9">
        <v>235.13372752060295</v>
      </c>
      <c r="D9">
        <v>251.98370147973409</v>
      </c>
      <c r="E9">
        <v>314.02224196562605</v>
      </c>
      <c r="F9">
        <v>277.25866241843084</v>
      </c>
    </row>
    <row r="10" spans="1:6" x14ac:dyDescent="0.3">
      <c r="A10" s="1" t="s">
        <v>36</v>
      </c>
      <c r="B10">
        <v>193.76715646697886</v>
      </c>
      <c r="C10">
        <v>129.17810431131923</v>
      </c>
      <c r="D10">
        <v>278.54028742128207</v>
      </c>
      <c r="E10">
        <v>169.54626190860648</v>
      </c>
      <c r="F10">
        <v>185.69352494752141</v>
      </c>
    </row>
    <row r="11" spans="1:6" x14ac:dyDescent="0.3">
      <c r="A11" s="1" t="s">
        <v>7</v>
      </c>
      <c r="B11">
        <v>221.61432182554799</v>
      </c>
      <c r="C11">
        <v>238.92794071816891</v>
      </c>
      <c r="D11">
        <v>349.73510163094289</v>
      </c>
      <c r="E11">
        <v>252.77883583226566</v>
      </c>
      <c r="F11">
        <v>252.77883583226566</v>
      </c>
    </row>
    <row r="12" spans="1:6" x14ac:dyDescent="0.3">
      <c r="A12" s="1" t="s">
        <v>102</v>
      </c>
      <c r="B12">
        <v>162.20600162206</v>
      </c>
      <c r="C12">
        <v>216.27466882941334</v>
      </c>
      <c r="D12">
        <v>243.30900243309003</v>
      </c>
      <c r="E12">
        <v>286.56393619897267</v>
      </c>
      <c r="F12">
        <v>254.12273587456068</v>
      </c>
    </row>
    <row r="13" spans="1:6" x14ac:dyDescent="0.3">
      <c r="A13" s="1" t="s">
        <v>9</v>
      </c>
      <c r="B13">
        <v>158.25935669143618</v>
      </c>
      <c r="C13">
        <v>200.18236508651862</v>
      </c>
      <c r="D13">
        <v>310.23026212360998</v>
      </c>
      <c r="E13">
        <v>313.37448775324117</v>
      </c>
      <c r="F13">
        <v>260.97072725938813</v>
      </c>
    </row>
    <row r="14" spans="1:6" x14ac:dyDescent="0.3">
      <c r="A14" s="1" t="s">
        <v>10</v>
      </c>
      <c r="B14">
        <v>102.13916821313998</v>
      </c>
      <c r="C14">
        <v>169.75242041057066</v>
      </c>
      <c r="D14">
        <v>202.83975659229208</v>
      </c>
      <c r="E14">
        <v>189.89253808640109</v>
      </c>
      <c r="F14">
        <v>158.96307165566154</v>
      </c>
    </row>
    <row r="15" spans="1:6" x14ac:dyDescent="0.3">
      <c r="A15" s="1" t="s">
        <v>11</v>
      </c>
      <c r="B15">
        <v>132.98140275231208</v>
      </c>
      <c r="C15">
        <v>193.42749491245391</v>
      </c>
      <c r="D15">
        <v>171.26392778706858</v>
      </c>
      <c r="E15">
        <v>205.5167133444823</v>
      </c>
      <c r="F15">
        <v>229.69515020853902</v>
      </c>
    </row>
    <row r="16" spans="1:6" x14ac:dyDescent="0.3">
      <c r="A16" s="1" t="s">
        <v>42</v>
      </c>
      <c r="B16">
        <v>69.20415224913495</v>
      </c>
      <c r="C16">
        <v>69.20415224913495</v>
      </c>
      <c r="D16">
        <v>103.80622837370242</v>
      </c>
      <c r="E16">
        <v>103.80622837370242</v>
      </c>
      <c r="F16">
        <v>161.47635524798156</v>
      </c>
    </row>
    <row r="17" spans="1:6" x14ac:dyDescent="0.3">
      <c r="A17" s="1" t="s">
        <v>12</v>
      </c>
      <c r="B17">
        <v>75.895567698846392</v>
      </c>
      <c r="C17">
        <v>106.25379477838496</v>
      </c>
      <c r="D17">
        <v>30.358227079538558</v>
      </c>
      <c r="E17">
        <v>91.074681238615668</v>
      </c>
      <c r="F17">
        <v>106.25379477838496</v>
      </c>
    </row>
    <row r="18" spans="1:6" x14ac:dyDescent="0.3">
      <c r="A18" s="1" t="s">
        <v>13</v>
      </c>
      <c r="B18">
        <v>165.94354462325632</v>
      </c>
      <c r="C18">
        <v>190.14364488081452</v>
      </c>
      <c r="D18">
        <v>197.05795924011687</v>
      </c>
      <c r="E18">
        <v>127.91481564709341</v>
      </c>
      <c r="F18">
        <v>219.52948090784949</v>
      </c>
    </row>
    <row r="19" spans="1:6" x14ac:dyDescent="0.3">
      <c r="A19" s="1" t="s">
        <v>14</v>
      </c>
      <c r="B19">
        <v>103.16368638239339</v>
      </c>
      <c r="C19">
        <v>45.850527281063734</v>
      </c>
      <c r="D19">
        <v>183.40210912425493</v>
      </c>
      <c r="E19">
        <v>149.01421366345713</v>
      </c>
      <c r="F19">
        <v>68.7757909215956</v>
      </c>
    </row>
    <row r="20" spans="1:6" x14ac:dyDescent="0.3">
      <c r="A20" s="1" t="s">
        <v>15</v>
      </c>
      <c r="B20">
        <v>187.42864932099712</v>
      </c>
      <c r="C20">
        <v>195.94813338104242</v>
      </c>
      <c r="D20">
        <v>175.50137163693367</v>
      </c>
      <c r="E20">
        <v>204.46761744108775</v>
      </c>
      <c r="F20">
        <v>241.9533473052872</v>
      </c>
    </row>
    <row r="21" spans="1:6" x14ac:dyDescent="0.3">
      <c r="A21" s="1" t="s">
        <v>16</v>
      </c>
      <c r="B21">
        <v>184.2330762639246</v>
      </c>
      <c r="C21">
        <v>235.64695801199659</v>
      </c>
      <c r="D21">
        <v>304.19880034275923</v>
      </c>
      <c r="E21">
        <v>321.33676092544988</v>
      </c>
      <c r="F21">
        <v>257.0694087403599</v>
      </c>
    </row>
    <row r="22" spans="1:6" x14ac:dyDescent="0.3">
      <c r="A22" s="1" t="s">
        <v>43</v>
      </c>
      <c r="B22">
        <v>223.52941176470586</v>
      </c>
      <c r="C22">
        <v>244.11764705882351</v>
      </c>
      <c r="D22">
        <v>317.64705882352939</v>
      </c>
      <c r="E22">
        <v>335.29411764705878</v>
      </c>
      <c r="F22">
        <v>394.11764705882348</v>
      </c>
    </row>
    <row r="23" spans="1:6" x14ac:dyDescent="0.3">
      <c r="A23" s="1" t="s">
        <v>44</v>
      </c>
      <c r="B23">
        <v>170.72306238185254</v>
      </c>
      <c r="C23">
        <v>166.58790170132323</v>
      </c>
      <c r="D23">
        <v>207.93950850661625</v>
      </c>
      <c r="E23">
        <v>265.24102079395084</v>
      </c>
      <c r="F23">
        <v>257.56143667296783</v>
      </c>
    </row>
    <row r="24" spans="1:6" x14ac:dyDescent="0.3">
      <c r="A24" s="1" t="s">
        <v>17</v>
      </c>
      <c r="B24">
        <v>119.64584828906436</v>
      </c>
      <c r="C24">
        <v>143.57501794687724</v>
      </c>
      <c r="D24">
        <v>137.59272553242403</v>
      </c>
      <c r="E24">
        <v>143.57501794687724</v>
      </c>
      <c r="F24">
        <v>149.55731036133045</v>
      </c>
    </row>
    <row r="25" spans="1:6" x14ac:dyDescent="0.3">
      <c r="A25" s="1" t="s">
        <v>45</v>
      </c>
      <c r="B25">
        <v>140.2685140125383</v>
      </c>
      <c r="C25">
        <v>160.30687315718663</v>
      </c>
      <c r="D25">
        <v>128.81802307273927</v>
      </c>
      <c r="E25">
        <v>174.61998683193542</v>
      </c>
      <c r="F25">
        <v>125.9554003377895</v>
      </c>
    </row>
    <row r="26" spans="1:6" x14ac:dyDescent="0.3">
      <c r="A26" s="1" t="s">
        <v>37</v>
      </c>
      <c r="B26">
        <v>149.80026631158455</v>
      </c>
      <c r="C26">
        <v>108.18908122503329</v>
      </c>
      <c r="D26">
        <v>174.76697736351531</v>
      </c>
      <c r="E26">
        <v>74.900133155792275</v>
      </c>
      <c r="F26">
        <v>158.12250332889479</v>
      </c>
    </row>
    <row r="27" spans="1:6" x14ac:dyDescent="0.3">
      <c r="A27" s="1" t="s">
        <v>18</v>
      </c>
      <c r="B27">
        <v>106.61855162798327</v>
      </c>
      <c r="C27">
        <v>147.62568686951531</v>
      </c>
      <c r="D27">
        <v>188.63282211104732</v>
      </c>
      <c r="E27">
        <v>180.43139506274093</v>
      </c>
      <c r="F27">
        <v>188.63282211104732</v>
      </c>
    </row>
    <row r="28" spans="1:6" x14ac:dyDescent="0.3">
      <c r="A28" s="1" t="s">
        <v>19</v>
      </c>
      <c r="B28">
        <v>192.30447651377068</v>
      </c>
      <c r="C28">
        <v>185.33692301689493</v>
      </c>
      <c r="D28">
        <v>229.09315897727461</v>
      </c>
      <c r="E28">
        <v>183.94341231751977</v>
      </c>
      <c r="F28">
        <v>217.94507338227342</v>
      </c>
    </row>
    <row r="29" spans="1:6" x14ac:dyDescent="0.3">
      <c r="A29" s="1" t="s">
        <v>20</v>
      </c>
      <c r="B29">
        <v>186.59011687512813</v>
      </c>
      <c r="C29">
        <v>260.40598728726673</v>
      </c>
      <c r="D29">
        <v>209.14496616772604</v>
      </c>
      <c r="E29">
        <v>198.8927619438179</v>
      </c>
      <c r="F29">
        <v>287.0617182694279</v>
      </c>
    </row>
    <row r="30" spans="1:6" x14ac:dyDescent="0.3">
      <c r="A30" s="1" t="s">
        <v>21</v>
      </c>
      <c r="B30">
        <v>161.33195663397007</v>
      </c>
      <c r="C30">
        <v>174.23851316468767</v>
      </c>
      <c r="D30">
        <v>258.13113061435212</v>
      </c>
      <c r="E30">
        <v>329.11719153329892</v>
      </c>
      <c r="F30">
        <v>283.94424367578733</v>
      </c>
    </row>
    <row r="31" spans="1:6" x14ac:dyDescent="0.3">
      <c r="A31" s="1" t="s">
        <v>46</v>
      </c>
      <c r="B31">
        <v>236.31602478124802</v>
      </c>
      <c r="C31">
        <v>172.44682889442424</v>
      </c>
      <c r="D31">
        <v>121.3514721849652</v>
      </c>
      <c r="E31">
        <v>166.05990930574185</v>
      </c>
      <c r="F31">
        <v>146.89915053969472</v>
      </c>
    </row>
    <row r="32" spans="1:6" x14ac:dyDescent="0.3">
      <c r="A32" s="1" t="s">
        <v>22</v>
      </c>
      <c r="B32">
        <v>166.45189003436428</v>
      </c>
      <c r="C32">
        <v>150.34364261168386</v>
      </c>
      <c r="D32">
        <v>155.71305841924399</v>
      </c>
      <c r="E32">
        <v>147.6589347079038</v>
      </c>
      <c r="F32">
        <v>158.39776632302406</v>
      </c>
    </row>
    <row r="33" spans="1:6" x14ac:dyDescent="0.3">
      <c r="A33" s="1" t="s">
        <v>23</v>
      </c>
      <c r="B33">
        <v>137.77267508610794</v>
      </c>
      <c r="C33">
        <v>172.21584385763492</v>
      </c>
      <c r="D33">
        <v>218.14006888633756</v>
      </c>
      <c r="E33">
        <v>177.95637198622273</v>
      </c>
      <c r="F33">
        <v>177.95637198622273</v>
      </c>
    </row>
    <row r="34" spans="1:6" x14ac:dyDescent="0.3">
      <c r="A34" s="1" t="s">
        <v>24</v>
      </c>
      <c r="B34">
        <v>211.18310535157187</v>
      </c>
      <c r="C34">
        <v>273.57811375089994</v>
      </c>
      <c r="D34">
        <v>321.57427405807533</v>
      </c>
      <c r="E34">
        <v>251.97984161267098</v>
      </c>
      <c r="F34">
        <v>280.77753779697622</v>
      </c>
    </row>
    <row r="35" spans="1:6" x14ac:dyDescent="0.3">
      <c r="A35" s="1" t="s">
        <v>25</v>
      </c>
      <c r="B35">
        <v>130.40494166094715</v>
      </c>
      <c r="C35">
        <v>130.40494166094715</v>
      </c>
      <c r="D35">
        <v>102.95126973232671</v>
      </c>
      <c r="E35">
        <v>96.087851750171595</v>
      </c>
      <c r="F35">
        <v>109.81468771448182</v>
      </c>
    </row>
    <row r="36" spans="1:6" x14ac:dyDescent="0.3">
      <c r="A36" s="1" t="s">
        <v>26</v>
      </c>
      <c r="B36">
        <v>52.029136316337144</v>
      </c>
      <c r="C36">
        <v>93.652445369406863</v>
      </c>
      <c r="D36">
        <v>67.63787721123829</v>
      </c>
      <c r="E36">
        <v>166.49323621227887</v>
      </c>
      <c r="F36">
        <v>161.29032258064515</v>
      </c>
    </row>
    <row r="37" spans="1:6" x14ac:dyDescent="0.3">
      <c r="A37" s="1" t="s">
        <v>47</v>
      </c>
      <c r="B37">
        <v>123.19272215302973</v>
      </c>
      <c r="C37">
        <v>110.55757116297539</v>
      </c>
      <c r="D37">
        <v>161.09817512319273</v>
      </c>
      <c r="E37">
        <v>162.0006859081966</v>
      </c>
      <c r="F37">
        <v>170.57453836573347</v>
      </c>
    </row>
    <row r="38" spans="1:6" x14ac:dyDescent="0.3">
      <c r="A38" s="1" t="s">
        <v>27</v>
      </c>
      <c r="B38">
        <v>55.05597357313269</v>
      </c>
      <c r="C38">
        <v>201.87190310148651</v>
      </c>
      <c r="D38">
        <v>91.759955955221145</v>
      </c>
      <c r="E38">
        <v>128.4639383373096</v>
      </c>
      <c r="F38">
        <v>73.407964764176924</v>
      </c>
    </row>
    <row r="39" spans="1:6" x14ac:dyDescent="0.3">
      <c r="A39" s="1" t="s">
        <v>28</v>
      </c>
      <c r="B39">
        <v>127.89540997584197</v>
      </c>
      <c r="C39">
        <v>99.4742077589882</v>
      </c>
      <c r="D39">
        <v>142.10601108426886</v>
      </c>
      <c r="E39">
        <v>85.263606650561314</v>
      </c>
      <c r="F39">
        <v>85.263606650561314</v>
      </c>
    </row>
    <row r="40" spans="1:6" x14ac:dyDescent="0.3">
      <c r="A40" s="1" t="s">
        <v>29</v>
      </c>
      <c r="B40">
        <v>114.97777096428024</v>
      </c>
      <c r="C40">
        <v>137.97332515713629</v>
      </c>
      <c r="D40">
        <v>191.62961827380042</v>
      </c>
      <c r="E40">
        <v>130.30814042618428</v>
      </c>
      <c r="F40">
        <v>245.28591139046452</v>
      </c>
    </row>
    <row r="41" spans="1:6" x14ac:dyDescent="0.3">
      <c r="A41" s="1" t="s">
        <v>30</v>
      </c>
      <c r="B41">
        <v>164.63414634146341</v>
      </c>
      <c r="C41">
        <v>268.29268292682923</v>
      </c>
      <c r="D41">
        <v>225.60975609756096</v>
      </c>
      <c r="E41">
        <v>384.14634146341461</v>
      </c>
      <c r="F41">
        <v>231.70731707317071</v>
      </c>
    </row>
    <row r="42" spans="1:6" x14ac:dyDescent="0.3">
      <c r="A42" s="1" t="s">
        <v>31</v>
      </c>
      <c r="B42">
        <v>214.39977035003676</v>
      </c>
      <c r="C42">
        <v>267.32691031092452</v>
      </c>
      <c r="D42">
        <v>276.29761199921057</v>
      </c>
      <c r="E42">
        <v>331.91596246658412</v>
      </c>
      <c r="F42">
        <v>295.13608554461126</v>
      </c>
    </row>
    <row r="43" spans="1:6" x14ac:dyDescent="0.3">
      <c r="A43" s="1" t="s">
        <v>32</v>
      </c>
      <c r="B43">
        <v>167.67582673497904</v>
      </c>
      <c r="C43">
        <v>274.80204937121567</v>
      </c>
      <c r="D43">
        <v>284.11737307871448</v>
      </c>
      <c r="E43">
        <v>207.26595249184908</v>
      </c>
      <c r="F43">
        <v>239.86958546809501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9A6D-4FE3-47C2-B7EB-BB05C12CA0E4}">
  <dimension ref="A1:F43"/>
  <sheetViews>
    <sheetView workbookViewId="0">
      <selection activeCell="A2" sqref="A2:A43"/>
    </sheetView>
  </sheetViews>
  <sheetFormatPr baseColWidth="10" defaultRowHeight="14.4" x14ac:dyDescent="0.3"/>
  <sheetData>
    <row r="1" spans="1:6" ht="37.799999999999997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225.48047772223947</v>
      </c>
      <c r="C2">
        <v>255.468548257338</v>
      </c>
      <c r="D2">
        <v>236.79176748547837</v>
      </c>
      <c r="E2">
        <v>231.09228039547426</v>
      </c>
      <c r="F2">
        <v>284.71130124989753</v>
      </c>
    </row>
    <row r="3" spans="1:6" x14ac:dyDescent="0.3">
      <c r="A3" s="1" t="s">
        <v>39</v>
      </c>
      <c r="B3">
        <v>204.55667630669393</v>
      </c>
      <c r="C3">
        <v>183.39564082669111</v>
      </c>
      <c r="D3">
        <v>119.91253438668265</v>
      </c>
      <c r="E3">
        <v>141.07356986668546</v>
      </c>
      <c r="F3">
        <v>289.20081822670522</v>
      </c>
    </row>
    <row r="4" spans="1:6" x14ac:dyDescent="0.3">
      <c r="A4" s="1" t="s">
        <v>40</v>
      </c>
      <c r="B4">
        <v>113.6462977533001</v>
      </c>
      <c r="C4">
        <v>218.55057260250021</v>
      </c>
      <c r="D4">
        <v>157.35641227380015</v>
      </c>
      <c r="E4">
        <v>310.34181309555032</v>
      </c>
      <c r="F4">
        <v>249.14765276685023</v>
      </c>
    </row>
    <row r="5" spans="1:6" x14ac:dyDescent="0.3">
      <c r="A5" s="1" t="s">
        <v>33</v>
      </c>
      <c r="B5">
        <v>28.517652426852219</v>
      </c>
      <c r="C5">
        <v>68.442365824445332</v>
      </c>
      <c r="D5">
        <v>91.256487765927105</v>
      </c>
      <c r="E5">
        <v>91.256487765927105</v>
      </c>
      <c r="F5">
        <v>68.442365824445332</v>
      </c>
    </row>
    <row r="6" spans="1:6" x14ac:dyDescent="0.3">
      <c r="A6" s="1" t="s">
        <v>6</v>
      </c>
      <c r="B6">
        <v>190.76688286913392</v>
      </c>
      <c r="C6">
        <v>305.22701259061427</v>
      </c>
      <c r="D6">
        <v>114.46012972148034</v>
      </c>
      <c r="E6">
        <v>19.076688286913392</v>
      </c>
      <c r="F6">
        <v>76.306753147653566</v>
      </c>
    </row>
    <row r="7" spans="1:6" x14ac:dyDescent="0.3">
      <c r="A7" s="1" t="s">
        <v>41</v>
      </c>
      <c r="B7">
        <v>106.84432153855823</v>
      </c>
      <c r="C7">
        <v>119.41424171956508</v>
      </c>
      <c r="D7">
        <v>182.26384262459933</v>
      </c>
      <c r="E7">
        <v>270.2532838916473</v>
      </c>
      <c r="F7">
        <v>188.54880271510277</v>
      </c>
    </row>
    <row r="8" spans="1:6" x14ac:dyDescent="0.3">
      <c r="A8" s="1" t="s">
        <v>34</v>
      </c>
      <c r="B8">
        <v>99.131255483098585</v>
      </c>
      <c r="C8">
        <v>75.377759760311392</v>
      </c>
      <c r="D8">
        <v>63.025941984462044</v>
      </c>
      <c r="E8">
        <v>73.160766826184584</v>
      </c>
      <c r="F8">
        <v>86.462724430945414</v>
      </c>
    </row>
    <row r="9" spans="1:6" x14ac:dyDescent="0.3">
      <c r="A9" s="1" t="s">
        <v>35</v>
      </c>
      <c r="B9">
        <v>250.45188566526764</v>
      </c>
      <c r="C9">
        <v>295.64045219202848</v>
      </c>
      <c r="D9">
        <v>267.30185962439879</v>
      </c>
      <c r="E9">
        <v>308.66088661499344</v>
      </c>
      <c r="F9">
        <v>336.23357127538986</v>
      </c>
    </row>
    <row r="10" spans="1:6" x14ac:dyDescent="0.3">
      <c r="A10" s="1" t="s">
        <v>36</v>
      </c>
      <c r="B10">
        <v>92.846762473760705</v>
      </c>
      <c r="C10">
        <v>149.36218310996287</v>
      </c>
      <c r="D10">
        <v>121.10447279186178</v>
      </c>
      <c r="E10">
        <v>141.28855159050542</v>
      </c>
      <c r="F10">
        <v>201.84078798643631</v>
      </c>
    </row>
    <row r="11" spans="1:6" x14ac:dyDescent="0.3">
      <c r="A11" s="1" t="s">
        <v>7</v>
      </c>
      <c r="B11">
        <v>197.37525537587868</v>
      </c>
      <c r="C11">
        <v>114.26988469129817</v>
      </c>
      <c r="D11">
        <v>128.12077980539493</v>
      </c>
      <c r="E11">
        <v>128.12077980539493</v>
      </c>
      <c r="F11">
        <v>155.82257003358842</v>
      </c>
    </row>
    <row r="12" spans="1:6" x14ac:dyDescent="0.3">
      <c r="A12" s="1" t="s">
        <v>102</v>
      </c>
      <c r="B12">
        <v>118.95106785617735</v>
      </c>
      <c r="C12">
        <v>189.24033522573669</v>
      </c>
      <c r="D12">
        <v>162.20600162206</v>
      </c>
      <c r="E12">
        <v>178.42660178426601</v>
      </c>
      <c r="F12">
        <v>237.90213571235469</v>
      </c>
    </row>
    <row r="13" spans="1:6" x14ac:dyDescent="0.3">
      <c r="A13" s="1" t="s">
        <v>9</v>
      </c>
      <c r="B13">
        <v>253.63420079024871</v>
      </c>
      <c r="C13">
        <v>322.80716464213469</v>
      </c>
      <c r="D13">
        <v>278.78800582729815</v>
      </c>
      <c r="E13">
        <v>274.59570498778993</v>
      </c>
      <c r="F13">
        <v>276.69185540754404</v>
      </c>
    </row>
    <row r="14" spans="1:6" x14ac:dyDescent="0.3">
      <c r="A14" s="1" t="s">
        <v>10</v>
      </c>
      <c r="B14">
        <v>194.20827758836475</v>
      </c>
      <c r="C14">
        <v>209.31336584523757</v>
      </c>
      <c r="D14">
        <v>150.33159265173421</v>
      </c>
      <c r="E14">
        <v>162.55952124063126</v>
      </c>
      <c r="F14">
        <v>181.26105908247376</v>
      </c>
    </row>
    <row r="15" spans="1:6" x14ac:dyDescent="0.3">
      <c r="A15" s="1" t="s">
        <v>11</v>
      </c>
      <c r="B15">
        <v>159.17470935504019</v>
      </c>
      <c r="C15">
        <v>199.47210412846812</v>
      </c>
      <c r="D15">
        <v>128.95166327496929</v>
      </c>
      <c r="E15">
        <v>110.81783562692672</v>
      </c>
      <c r="F15">
        <v>110.81783562692672</v>
      </c>
    </row>
    <row r="16" spans="1:6" x14ac:dyDescent="0.3">
      <c r="A16" s="1" t="s">
        <v>42</v>
      </c>
      <c r="B16">
        <v>11.534025374855824</v>
      </c>
      <c r="C16">
        <v>57.670126874279127</v>
      </c>
      <c r="D16">
        <v>57.670126874279127</v>
      </c>
      <c r="E16">
        <v>69.20415224913495</v>
      </c>
      <c r="F16">
        <v>57.670126874279127</v>
      </c>
    </row>
    <row r="17" spans="1:6" x14ac:dyDescent="0.3">
      <c r="A17" s="1" t="s">
        <v>12</v>
      </c>
      <c r="B17">
        <v>182.14936247723134</v>
      </c>
      <c r="C17">
        <v>166.97024893746206</v>
      </c>
      <c r="D17">
        <v>106.25379477838496</v>
      </c>
      <c r="E17">
        <v>136.61202185792351</v>
      </c>
      <c r="F17">
        <v>121.43290831815423</v>
      </c>
    </row>
    <row r="18" spans="1:6" x14ac:dyDescent="0.3">
      <c r="A18" s="1" t="s">
        <v>13</v>
      </c>
      <c r="B18">
        <v>124.45765846744223</v>
      </c>
      <c r="C18">
        <v>160.75780885377955</v>
      </c>
      <c r="D18">
        <v>115.8147655183143</v>
      </c>
      <c r="E18">
        <v>153.8434944944772</v>
      </c>
      <c r="F18">
        <v>140.01486577587249</v>
      </c>
    </row>
    <row r="19" spans="1:6" x14ac:dyDescent="0.3">
      <c r="A19" s="1" t="s">
        <v>14</v>
      </c>
      <c r="B19">
        <v>126.08895002292526</v>
      </c>
      <c r="C19">
        <v>183.40210912425493</v>
      </c>
      <c r="D19">
        <v>103.16368638239339</v>
      </c>
      <c r="E19">
        <v>320.95369096744611</v>
      </c>
      <c r="F19">
        <v>298.02842732691425</v>
      </c>
    </row>
    <row r="20" spans="1:6" x14ac:dyDescent="0.3">
      <c r="A20" s="1" t="s">
        <v>15</v>
      </c>
      <c r="B20">
        <v>66.451975668353526</v>
      </c>
      <c r="C20">
        <v>115.86498321661639</v>
      </c>
      <c r="D20">
        <v>105.641602344562</v>
      </c>
      <c r="E20">
        <v>52.820801172281001</v>
      </c>
      <c r="F20">
        <v>80.083150164426044</v>
      </c>
    </row>
    <row r="21" spans="1:6" x14ac:dyDescent="0.3">
      <c r="A21" s="1" t="s">
        <v>16</v>
      </c>
      <c r="B21">
        <v>141.38817480719794</v>
      </c>
      <c r="C21">
        <v>269.92287917737792</v>
      </c>
      <c r="D21">
        <v>132.81919451585262</v>
      </c>
      <c r="E21">
        <v>124.25021422450729</v>
      </c>
      <c r="F21">
        <v>124.25021422450729</v>
      </c>
    </row>
    <row r="22" spans="1:6" x14ac:dyDescent="0.3">
      <c r="A22" s="1" t="s">
        <v>43</v>
      </c>
      <c r="B22">
        <v>111.76470588235293</v>
      </c>
      <c r="C22">
        <v>214.70588235294116</v>
      </c>
      <c r="D22">
        <v>258.8235294117647</v>
      </c>
      <c r="E22">
        <v>279.41176470588232</v>
      </c>
      <c r="F22">
        <v>329.41176470588232</v>
      </c>
    </row>
    <row r="23" spans="1:6" x14ac:dyDescent="0.3">
      <c r="A23" s="1" t="s">
        <v>44</v>
      </c>
      <c r="B23">
        <v>126.41776937618147</v>
      </c>
      <c r="C23">
        <v>157.72684310018903</v>
      </c>
      <c r="D23">
        <v>140.59546313799621</v>
      </c>
      <c r="E23">
        <v>110.46786389413988</v>
      </c>
      <c r="F23">
        <v>135.27882797731567</v>
      </c>
    </row>
    <row r="24" spans="1:6" x14ac:dyDescent="0.3">
      <c r="A24" s="1" t="s">
        <v>17</v>
      </c>
      <c r="B24">
        <v>83.752093802345058</v>
      </c>
      <c r="C24">
        <v>287.15003589375448</v>
      </c>
      <c r="D24">
        <v>191.43335726250299</v>
      </c>
      <c r="E24">
        <v>149.55731036133045</v>
      </c>
      <c r="F24">
        <v>221.34481933476908</v>
      </c>
    </row>
    <row r="25" spans="1:6" x14ac:dyDescent="0.3">
      <c r="A25" s="1" t="s">
        <v>45</v>
      </c>
      <c r="B25">
        <v>85.878682048492834</v>
      </c>
      <c r="C25">
        <v>77.290813843643548</v>
      </c>
      <c r="D25">
        <v>77.290813843643548</v>
      </c>
      <c r="E25">
        <v>143.13113674748806</v>
      </c>
      <c r="F25">
        <v>260.49866888042828</v>
      </c>
    </row>
    <row r="26" spans="1:6" x14ac:dyDescent="0.3">
      <c r="A26" s="1" t="s">
        <v>37</v>
      </c>
      <c r="B26">
        <v>291.27829560585883</v>
      </c>
      <c r="C26">
        <v>149.80026631158455</v>
      </c>
      <c r="D26">
        <v>83.222370173102533</v>
      </c>
      <c r="E26">
        <v>91.544607190412776</v>
      </c>
      <c r="F26">
        <v>191.41145139813582</v>
      </c>
    </row>
    <row r="27" spans="1:6" x14ac:dyDescent="0.3">
      <c r="A27" s="1" t="s">
        <v>18</v>
      </c>
      <c r="B27">
        <v>180.43139506274093</v>
      </c>
      <c r="C27">
        <v>106.61855162798327</v>
      </c>
      <c r="D27">
        <v>32.80570819322562</v>
      </c>
      <c r="E27">
        <v>139.42425982120889</v>
      </c>
      <c r="F27">
        <v>213.23710325596653</v>
      </c>
    </row>
    <row r="28" spans="1:6" x14ac:dyDescent="0.3">
      <c r="A28" s="1" t="s">
        <v>19</v>
      </c>
      <c r="B28">
        <v>115.10398376838738</v>
      </c>
      <c r="C28">
        <v>166.38517750539287</v>
      </c>
      <c r="D28">
        <v>221.84690334052385</v>
      </c>
      <c r="E28">
        <v>219.61728622152361</v>
      </c>
      <c r="F28">
        <v>272.29199065790425</v>
      </c>
    </row>
    <row r="29" spans="1:6" x14ac:dyDescent="0.3">
      <c r="A29" s="1" t="s">
        <v>20</v>
      </c>
      <c r="B29">
        <v>112.77424646298954</v>
      </c>
      <c r="C29">
        <v>190.6909985646914</v>
      </c>
      <c r="D29">
        <v>166.08570842731186</v>
      </c>
      <c r="E29">
        <v>135.32909575558745</v>
      </c>
      <c r="F29">
        <v>192.74143940947303</v>
      </c>
    </row>
    <row r="30" spans="1:6" x14ac:dyDescent="0.3">
      <c r="A30" s="1" t="s">
        <v>21</v>
      </c>
      <c r="B30">
        <v>154.87867836861128</v>
      </c>
      <c r="C30">
        <v>193.59834796076407</v>
      </c>
      <c r="D30">
        <v>232.3180175529169</v>
      </c>
      <c r="E30">
        <v>296.85080020650491</v>
      </c>
      <c r="F30">
        <v>413.00980898296336</v>
      </c>
    </row>
    <row r="31" spans="1:6" x14ac:dyDescent="0.3">
      <c r="A31" s="1" t="s">
        <v>46</v>
      </c>
      <c r="B31">
        <v>185.22066807178899</v>
      </c>
      <c r="C31">
        <v>134.12531136232997</v>
      </c>
      <c r="D31">
        <v>229.92910519256566</v>
      </c>
      <c r="E31">
        <v>185.22066807178899</v>
      </c>
      <c r="F31">
        <v>210.76834642651852</v>
      </c>
    </row>
    <row r="32" spans="1:6" x14ac:dyDescent="0.3">
      <c r="A32" s="1" t="s">
        <v>22</v>
      </c>
      <c r="B32">
        <v>144.97422680412373</v>
      </c>
      <c r="C32">
        <v>155.71305841924399</v>
      </c>
      <c r="D32">
        <v>212.09192439862545</v>
      </c>
      <c r="E32">
        <v>195.98367697594503</v>
      </c>
      <c r="F32">
        <v>298.00257731958766</v>
      </c>
    </row>
    <row r="33" spans="1:6" x14ac:dyDescent="0.3">
      <c r="A33" s="1" t="s">
        <v>23</v>
      </c>
      <c r="B33">
        <v>172.21584385763492</v>
      </c>
      <c r="C33">
        <v>241.10218140068886</v>
      </c>
      <c r="D33">
        <v>183.69690011481057</v>
      </c>
      <c r="E33">
        <v>407.57749712973595</v>
      </c>
      <c r="F33">
        <v>281.28587830080369</v>
      </c>
    </row>
    <row r="34" spans="1:6" x14ac:dyDescent="0.3">
      <c r="A34" s="1" t="s">
        <v>24</v>
      </c>
      <c r="B34">
        <v>196.78425725941923</v>
      </c>
      <c r="C34">
        <v>91.192704583633301</v>
      </c>
      <c r="D34">
        <v>163.18694504439645</v>
      </c>
      <c r="E34">
        <v>179.98560115190784</v>
      </c>
      <c r="F34">
        <v>155.98752099832012</v>
      </c>
    </row>
    <row r="35" spans="1:6" x14ac:dyDescent="0.3">
      <c r="A35" s="1" t="s">
        <v>25</v>
      </c>
      <c r="B35">
        <v>48.043925875085797</v>
      </c>
      <c r="C35">
        <v>61.770761839396023</v>
      </c>
      <c r="D35">
        <v>48.043925875085797</v>
      </c>
      <c r="E35">
        <v>116.67810569663693</v>
      </c>
      <c r="F35">
        <v>48.043925875085797</v>
      </c>
    </row>
    <row r="36" spans="1:6" x14ac:dyDescent="0.3">
      <c r="A36" s="1" t="s">
        <v>26</v>
      </c>
      <c r="B36">
        <v>171.69614984391259</v>
      </c>
      <c r="C36">
        <v>145.68158168574402</v>
      </c>
      <c r="D36">
        <v>182.10197710718001</v>
      </c>
      <c r="E36">
        <v>62.434963579604577</v>
      </c>
      <c r="F36">
        <v>187.30489073881373</v>
      </c>
    </row>
    <row r="37" spans="1:6" x14ac:dyDescent="0.3">
      <c r="A37" s="1" t="s">
        <v>47</v>
      </c>
      <c r="B37">
        <v>110.10631577047346</v>
      </c>
      <c r="C37">
        <v>132.21783000306854</v>
      </c>
      <c r="D37">
        <v>80.774715257847333</v>
      </c>
      <c r="E37">
        <v>209.83375751340228</v>
      </c>
      <c r="F37">
        <v>281.58336492121083</v>
      </c>
    </row>
    <row r="38" spans="1:6" x14ac:dyDescent="0.3">
      <c r="A38" s="1" t="s">
        <v>27</v>
      </c>
      <c r="B38">
        <v>110.11194714626538</v>
      </c>
      <c r="C38">
        <v>183.51991191044229</v>
      </c>
      <c r="D38">
        <v>91.759955955221145</v>
      </c>
      <c r="E38">
        <v>128.4639383373096</v>
      </c>
      <c r="F38">
        <v>128.4639383373096</v>
      </c>
    </row>
    <row r="39" spans="1:6" x14ac:dyDescent="0.3">
      <c r="A39" s="1" t="s">
        <v>28</v>
      </c>
      <c r="B39">
        <v>156.31661219269574</v>
      </c>
      <c r="C39">
        <v>156.31661219269574</v>
      </c>
      <c r="D39">
        <v>127.89540997584197</v>
      </c>
      <c r="E39">
        <v>198.9484155179764</v>
      </c>
      <c r="F39">
        <v>284.21202216853771</v>
      </c>
    </row>
    <row r="40" spans="1:6" x14ac:dyDescent="0.3">
      <c r="A40" s="1" t="s">
        <v>29</v>
      </c>
      <c r="B40">
        <v>107.31258623332823</v>
      </c>
      <c r="C40">
        <v>206.95998773570443</v>
      </c>
      <c r="D40">
        <v>137.97332515713629</v>
      </c>
      <c r="E40">
        <v>99.647401502376212</v>
      </c>
      <c r="F40">
        <v>160.96887934999233</v>
      </c>
    </row>
    <row r="41" spans="1:6" x14ac:dyDescent="0.3">
      <c r="A41" s="1" t="s">
        <v>30</v>
      </c>
      <c r="B41">
        <v>140.2439024390244</v>
      </c>
      <c r="C41">
        <v>164.63414634146341</v>
      </c>
      <c r="D41">
        <v>189.02439024390245</v>
      </c>
      <c r="E41">
        <v>170.73170731707316</v>
      </c>
      <c r="F41">
        <v>335.36585365853659</v>
      </c>
    </row>
    <row r="42" spans="1:6" x14ac:dyDescent="0.3">
      <c r="A42" s="1" t="s">
        <v>31</v>
      </c>
      <c r="B42">
        <v>221.57633170066561</v>
      </c>
      <c r="C42">
        <v>347.16615533667044</v>
      </c>
      <c r="D42">
        <v>244.90015609020935</v>
      </c>
      <c r="E42">
        <v>231.44410355778027</v>
      </c>
      <c r="F42">
        <v>483.52082099861849</v>
      </c>
    </row>
    <row r="43" spans="1:6" x14ac:dyDescent="0.3">
      <c r="A43" s="1" t="s">
        <v>32</v>
      </c>
      <c r="B43">
        <v>223.56776897997204</v>
      </c>
      <c r="C43">
        <v>302.74802049371215</v>
      </c>
      <c r="D43">
        <v>209.59478341872381</v>
      </c>
      <c r="E43">
        <v>170.00465766185374</v>
      </c>
      <c r="F43">
        <v>223.56776897997204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89EB-4FE3-4345-A16B-3C9F71C9F99D}">
  <dimension ref="A1:F43"/>
  <sheetViews>
    <sheetView workbookViewId="0">
      <selection activeCell="A2" sqref="A2:A43"/>
    </sheetView>
  </sheetViews>
  <sheetFormatPr baseColWidth="10" defaultRowHeight="14.4" x14ac:dyDescent="0.3"/>
  <sheetData>
    <row r="1" spans="1:6" ht="37.799999999999997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60.151509903735665</v>
      </c>
      <c r="C2">
        <v>63.395833324199543</v>
      </c>
      <c r="D2">
        <v>44.587525927185986</v>
      </c>
      <c r="E2">
        <v>51.032330559729097</v>
      </c>
      <c r="F2">
        <v>49.497853266266446</v>
      </c>
    </row>
    <row r="3" spans="1:6" x14ac:dyDescent="0.3">
      <c r="A3" s="1" t="s">
        <v>39</v>
      </c>
      <c r="B3">
        <v>63.483106440008463</v>
      </c>
      <c r="C3">
        <v>70.53678493334273</v>
      </c>
      <c r="D3">
        <v>35.268392466671365</v>
      </c>
      <c r="E3">
        <v>70.53678493334273</v>
      </c>
      <c r="F3">
        <v>176.34196233335683</v>
      </c>
    </row>
    <row r="4" spans="1:6" x14ac:dyDescent="0.3">
      <c r="A4" s="1" t="s">
        <v>40</v>
      </c>
      <c r="B4">
        <v>61.194160328700058</v>
      </c>
      <c r="C4">
        <v>74.307194684850074</v>
      </c>
      <c r="D4">
        <v>65.565171780750063</v>
      </c>
      <c r="E4">
        <v>87.420229041000084</v>
      </c>
      <c r="F4">
        <v>39.339103068450036</v>
      </c>
    </row>
    <row r="5" spans="1:6" x14ac:dyDescent="0.3">
      <c r="A5" s="1" t="s">
        <v>33</v>
      </c>
      <c r="B5">
        <v>51.331774368333996</v>
      </c>
      <c r="C5">
        <v>22.814121941481776</v>
      </c>
      <c r="D5">
        <v>17.110591456111333</v>
      </c>
      <c r="E5">
        <v>51.331774368333996</v>
      </c>
      <c r="F5">
        <v>34.221182912222666</v>
      </c>
    </row>
    <row r="6" spans="1:6" x14ac:dyDescent="0.3">
      <c r="A6" s="1" t="s">
        <v>6</v>
      </c>
      <c r="B6">
        <v>38.153376573826783</v>
      </c>
      <c r="C6">
        <v>114.46012972148034</v>
      </c>
      <c r="D6">
        <v>19.076688286913392</v>
      </c>
      <c r="E6">
        <v>57.230064860740171</v>
      </c>
      <c r="F6">
        <v>38.153376573826783</v>
      </c>
    </row>
    <row r="7" spans="1:6" x14ac:dyDescent="0.3">
      <c r="A7" s="1" t="s">
        <v>41</v>
      </c>
      <c r="B7">
        <v>75.419521086041101</v>
      </c>
      <c r="C7">
        <v>69.134560995537683</v>
      </c>
      <c r="D7">
        <v>43.994720633523976</v>
      </c>
      <c r="E7">
        <v>56.564640814530826</v>
      </c>
      <c r="F7">
        <v>37.70976054302055</v>
      </c>
    </row>
    <row r="8" spans="1:6" x14ac:dyDescent="0.3">
      <c r="A8" s="1" t="s">
        <v>34</v>
      </c>
      <c r="B8">
        <v>38.322306432763355</v>
      </c>
      <c r="C8">
        <v>33.571607288205911</v>
      </c>
      <c r="D8">
        <v>32.938180735598252</v>
      </c>
      <c r="E8">
        <v>36.105313498636548</v>
      </c>
      <c r="F8">
        <v>35.471886946028889</v>
      </c>
    </row>
    <row r="9" spans="1:6" x14ac:dyDescent="0.3">
      <c r="A9" s="1" t="s">
        <v>35</v>
      </c>
      <c r="B9">
        <v>52.84764559909317</v>
      </c>
      <c r="C9">
        <v>54.379461413559639</v>
      </c>
      <c r="D9">
        <v>45.188566526760823</v>
      </c>
      <c r="E9">
        <v>56.677185135259343</v>
      </c>
      <c r="F9">
        <v>64.336264207591682</v>
      </c>
    </row>
    <row r="10" spans="1:6" x14ac:dyDescent="0.3">
      <c r="A10" s="1" t="s">
        <v>36</v>
      </c>
      <c r="B10">
        <v>56.515420636202165</v>
      </c>
      <c r="C10">
        <v>44.404973357015983</v>
      </c>
      <c r="D10">
        <v>52.47860487647344</v>
      </c>
      <c r="E10">
        <v>68.625867915388341</v>
      </c>
      <c r="F10">
        <v>60.55223639593089</v>
      </c>
    </row>
    <row r="11" spans="1:6" x14ac:dyDescent="0.3">
      <c r="A11" s="1" t="s">
        <v>7</v>
      </c>
      <c r="B11">
        <v>51.940856677862811</v>
      </c>
      <c r="C11">
        <v>76.17992312753212</v>
      </c>
      <c r="D11">
        <v>38.08996156376606</v>
      </c>
      <c r="E11">
        <v>13.850895114096749</v>
      </c>
      <c r="F11">
        <v>24.239066449669309</v>
      </c>
    </row>
    <row r="12" spans="1:6" x14ac:dyDescent="0.3">
      <c r="A12" s="1" t="s">
        <v>102</v>
      </c>
      <c r="B12">
        <v>75.696134090294677</v>
      </c>
      <c r="C12">
        <v>59.475533928088673</v>
      </c>
      <c r="D12">
        <v>75.696134090294677</v>
      </c>
      <c r="E12">
        <v>37.848067045147339</v>
      </c>
      <c r="F12">
        <v>70.28926736955934</v>
      </c>
    </row>
    <row r="13" spans="1:6" x14ac:dyDescent="0.3">
      <c r="A13" s="1" t="s">
        <v>9</v>
      </c>
      <c r="B13">
        <v>48.211459654344793</v>
      </c>
      <c r="C13">
        <v>77.557565530902494</v>
      </c>
      <c r="D13">
        <v>59.740286962992464</v>
      </c>
      <c r="E13">
        <v>62.884512592623643</v>
      </c>
      <c r="F13">
        <v>78.605640740779549</v>
      </c>
    </row>
    <row r="14" spans="1:6" x14ac:dyDescent="0.3">
      <c r="A14" s="1" t="s">
        <v>10</v>
      </c>
      <c r="B14">
        <v>62.578222778473091</v>
      </c>
      <c r="C14">
        <v>81.279760620315628</v>
      </c>
      <c r="D14">
        <v>36.683785766691123</v>
      </c>
      <c r="E14">
        <v>25.175147094788024</v>
      </c>
      <c r="F14">
        <v>50.350294189576047</v>
      </c>
    </row>
    <row r="15" spans="1:6" x14ac:dyDescent="0.3">
      <c r="A15" s="1" t="s">
        <v>11</v>
      </c>
      <c r="B15">
        <v>78.5799198081844</v>
      </c>
      <c r="C15">
        <v>60.446092160141852</v>
      </c>
      <c r="D15">
        <v>66.490701376156039</v>
      </c>
      <c r="E15">
        <v>52.386613205456271</v>
      </c>
      <c r="F15">
        <v>52.386613205456271</v>
      </c>
    </row>
    <row r="16" spans="1:6" x14ac:dyDescent="0.3">
      <c r="A16" s="1" t="s">
        <v>42</v>
      </c>
      <c r="B16">
        <v>23.068050749711649</v>
      </c>
      <c r="C16">
        <v>92.272202998846595</v>
      </c>
      <c r="D16">
        <v>11.534025374855824</v>
      </c>
      <c r="E16">
        <v>80.738177623990779</v>
      </c>
      <c r="F16">
        <v>80.738177623990779</v>
      </c>
    </row>
    <row r="17" spans="1:6" x14ac:dyDescent="0.3">
      <c r="A17" s="1" t="s">
        <v>12</v>
      </c>
      <c r="B17">
        <v>121.43290831815423</v>
      </c>
      <c r="C17">
        <v>136.61202185792351</v>
      </c>
      <c r="D17">
        <v>60.716454159077117</v>
      </c>
      <c r="E17">
        <v>45.537340619307834</v>
      </c>
      <c r="F17">
        <v>106.25379477838496</v>
      </c>
    </row>
    <row r="18" spans="1:6" x14ac:dyDescent="0.3">
      <c r="A18" s="1" t="s">
        <v>13</v>
      </c>
      <c r="B18">
        <v>32.842993206686145</v>
      </c>
      <c r="C18">
        <v>48.400200515116424</v>
      </c>
      <c r="D18">
        <v>46.671621925290836</v>
      </c>
      <c r="E18">
        <v>44.943043335465248</v>
      </c>
      <c r="F18">
        <v>60.500250643895527</v>
      </c>
    </row>
    <row r="19" spans="1:6" x14ac:dyDescent="0.3">
      <c r="A19" s="1" t="s">
        <v>14</v>
      </c>
      <c r="B19">
        <v>22.925263640531867</v>
      </c>
      <c r="C19">
        <v>45.850527281063734</v>
      </c>
      <c r="D19">
        <v>57.313159101329667</v>
      </c>
      <c r="E19">
        <v>114.62631820265933</v>
      </c>
      <c r="F19">
        <v>57.313159101329667</v>
      </c>
    </row>
    <row r="20" spans="1:6" x14ac:dyDescent="0.3">
      <c r="A20" s="1" t="s">
        <v>15</v>
      </c>
      <c r="B20">
        <v>23.854555368126906</v>
      </c>
      <c r="C20">
        <v>18.74286493209971</v>
      </c>
      <c r="D20">
        <v>39.189626676208491</v>
      </c>
      <c r="E20">
        <v>25.558452180135969</v>
      </c>
      <c r="F20">
        <v>47.709110736253812</v>
      </c>
    </row>
    <row r="21" spans="1:6" x14ac:dyDescent="0.3">
      <c r="A21" s="1" t="s">
        <v>16</v>
      </c>
      <c r="B21">
        <v>21.422450728363327</v>
      </c>
      <c r="C21">
        <v>38.560411311053983</v>
      </c>
      <c r="D21">
        <v>59.982862039417313</v>
      </c>
      <c r="E21">
        <v>29.991431019708656</v>
      </c>
      <c r="F21">
        <v>68.551842330762639</v>
      </c>
    </row>
    <row r="22" spans="1:6" x14ac:dyDescent="0.3">
      <c r="A22" s="1" t="s">
        <v>43</v>
      </c>
      <c r="B22">
        <v>61.764705882352935</v>
      </c>
      <c r="C22">
        <v>102.94117647058823</v>
      </c>
      <c r="D22">
        <v>52.941176470588232</v>
      </c>
      <c r="E22">
        <v>41.17647058823529</v>
      </c>
      <c r="F22">
        <v>76.470588235294116</v>
      </c>
    </row>
    <row r="23" spans="1:6" x14ac:dyDescent="0.3">
      <c r="A23" s="1" t="s">
        <v>44</v>
      </c>
      <c r="B23">
        <v>61.436672967863892</v>
      </c>
      <c r="C23">
        <v>51.394139886578451</v>
      </c>
      <c r="D23">
        <v>42.533081285444233</v>
      </c>
      <c r="E23">
        <v>50.803402646502832</v>
      </c>
      <c r="F23">
        <v>38.988657844990549</v>
      </c>
    </row>
    <row r="24" spans="1:6" x14ac:dyDescent="0.3">
      <c r="A24" s="1" t="s">
        <v>17</v>
      </c>
      <c r="B24">
        <v>107.68126346015794</v>
      </c>
      <c r="C24">
        <v>59.82292414453218</v>
      </c>
      <c r="D24">
        <v>89.734386216798271</v>
      </c>
      <c r="E24">
        <v>71.787508973438619</v>
      </c>
      <c r="F24">
        <v>53.840631730078968</v>
      </c>
    </row>
    <row r="25" spans="1:6" x14ac:dyDescent="0.3">
      <c r="A25" s="1" t="s">
        <v>45</v>
      </c>
      <c r="B25">
        <v>57.252454698995223</v>
      </c>
      <c r="C25">
        <v>48.664586494145944</v>
      </c>
      <c r="D25">
        <v>48.664586494145944</v>
      </c>
      <c r="E25">
        <v>51.527209229095703</v>
      </c>
      <c r="F25">
        <v>80.153436578593315</v>
      </c>
    </row>
    <row r="26" spans="1:6" x14ac:dyDescent="0.3">
      <c r="A26" s="1" t="s">
        <v>37</v>
      </c>
      <c r="B26">
        <v>66.577896138482018</v>
      </c>
      <c r="C26">
        <v>74.900133155792275</v>
      </c>
      <c r="D26">
        <v>33.288948069241009</v>
      </c>
      <c r="E26">
        <v>16.644474034620504</v>
      </c>
      <c r="F26">
        <v>58.255659121171767</v>
      </c>
    </row>
    <row r="27" spans="1:6" x14ac:dyDescent="0.3">
      <c r="A27" s="1" t="s">
        <v>18</v>
      </c>
      <c r="B27">
        <v>57.40998933814484</v>
      </c>
      <c r="C27">
        <v>16.40285409661281</v>
      </c>
      <c r="D27">
        <v>41.007135241532026</v>
      </c>
      <c r="E27">
        <v>65.611416386451239</v>
      </c>
      <c r="F27">
        <v>73.812843434757653</v>
      </c>
    </row>
    <row r="28" spans="1:6" x14ac:dyDescent="0.3">
      <c r="A28" s="1" t="s">
        <v>19</v>
      </c>
      <c r="B28">
        <v>45.985853079379943</v>
      </c>
      <c r="C28">
        <v>50.16638517750539</v>
      </c>
      <c r="D28">
        <v>38.460895302754132</v>
      </c>
      <c r="E28">
        <v>42.920129540754616</v>
      </c>
      <c r="F28">
        <v>44.034938100254735</v>
      </c>
    </row>
    <row r="29" spans="1:6" x14ac:dyDescent="0.3">
      <c r="A29" s="1" t="s">
        <v>20</v>
      </c>
      <c r="B29">
        <v>59.462784498667212</v>
      </c>
      <c r="C29">
        <v>38.95837605085093</v>
      </c>
      <c r="D29">
        <v>38.95837605085093</v>
      </c>
      <c r="E29">
        <v>57.412343653885586</v>
      </c>
      <c r="F29">
        <v>59.462784498667212</v>
      </c>
    </row>
    <row r="30" spans="1:6" x14ac:dyDescent="0.3">
      <c r="A30" s="1" t="s">
        <v>21</v>
      </c>
      <c r="B30">
        <v>25.81311306143521</v>
      </c>
      <c r="C30">
        <v>135.51884357253485</v>
      </c>
      <c r="D30">
        <v>109.70573051109965</v>
      </c>
      <c r="E30">
        <v>51.62622612287042</v>
      </c>
      <c r="F30">
        <v>116.15900877645845</v>
      </c>
    </row>
    <row r="31" spans="1:6" x14ac:dyDescent="0.3">
      <c r="A31" s="1" t="s">
        <v>46</v>
      </c>
      <c r="B31">
        <v>114.96455259628283</v>
      </c>
      <c r="C31">
        <v>108.57763300760044</v>
      </c>
      <c r="D31">
        <v>121.3514721849652</v>
      </c>
      <c r="E31">
        <v>191.60758766047138</v>
      </c>
      <c r="F31">
        <v>83.029954652870927</v>
      </c>
    </row>
    <row r="32" spans="1:6" x14ac:dyDescent="0.3">
      <c r="A32" s="1" t="s">
        <v>22</v>
      </c>
      <c r="B32">
        <v>88.595360824742272</v>
      </c>
      <c r="C32">
        <v>102.01890034364261</v>
      </c>
      <c r="D32">
        <v>64.432989690721655</v>
      </c>
      <c r="E32">
        <v>72.487113402061865</v>
      </c>
      <c r="F32">
        <v>126.18127147766324</v>
      </c>
    </row>
    <row r="33" spans="1:6" x14ac:dyDescent="0.3">
      <c r="A33" s="1" t="s">
        <v>23</v>
      </c>
      <c r="B33">
        <v>57.405281285878303</v>
      </c>
      <c r="C33">
        <v>103.32950631458094</v>
      </c>
      <c r="D33">
        <v>80.367393800229621</v>
      </c>
      <c r="E33">
        <v>57.405281285878303</v>
      </c>
      <c r="F33">
        <v>34.443168771526985</v>
      </c>
    </row>
    <row r="34" spans="1:6" x14ac:dyDescent="0.3">
      <c r="A34" s="1" t="s">
        <v>24</v>
      </c>
      <c r="B34">
        <v>100.79193664506839</v>
      </c>
      <c r="C34">
        <v>47.996160307175423</v>
      </c>
      <c r="D34">
        <v>45.59635229181665</v>
      </c>
      <c r="E34">
        <v>55.195584353251739</v>
      </c>
      <c r="F34">
        <v>47.996160307175423</v>
      </c>
    </row>
    <row r="35" spans="1:6" x14ac:dyDescent="0.3">
      <c r="A35" s="1" t="s">
        <v>25</v>
      </c>
      <c r="B35">
        <v>41.180507892930677</v>
      </c>
      <c r="C35">
        <v>116.67810569663693</v>
      </c>
      <c r="D35">
        <v>0</v>
      </c>
      <c r="E35">
        <v>54.90734385724091</v>
      </c>
      <c r="F35">
        <v>20.590253946465339</v>
      </c>
    </row>
    <row r="36" spans="1:6" x14ac:dyDescent="0.3">
      <c r="A36" s="1" t="s">
        <v>26</v>
      </c>
      <c r="B36">
        <v>78.043704474505716</v>
      </c>
      <c r="C36">
        <v>88.449531737773142</v>
      </c>
      <c r="D36">
        <v>72.840790842872011</v>
      </c>
      <c r="E36">
        <v>67.63787721123829</v>
      </c>
      <c r="F36">
        <v>52.029136316337144</v>
      </c>
    </row>
    <row r="37" spans="1:6" x14ac:dyDescent="0.3">
      <c r="A37" s="1" t="s">
        <v>47</v>
      </c>
      <c r="B37">
        <v>57.760690240248373</v>
      </c>
      <c r="C37">
        <v>67.237053482789122</v>
      </c>
      <c r="D37">
        <v>64.98077652027942</v>
      </c>
      <c r="E37">
        <v>70.847096622804642</v>
      </c>
      <c r="F37">
        <v>81.225970650349268</v>
      </c>
    </row>
    <row r="38" spans="1:6" x14ac:dyDescent="0.3">
      <c r="A38" s="1" t="s">
        <v>27</v>
      </c>
      <c r="B38">
        <v>110.11194714626538</v>
      </c>
      <c r="C38">
        <v>73.407964764176924</v>
      </c>
      <c r="D38">
        <v>0</v>
      </c>
      <c r="E38">
        <v>0</v>
      </c>
      <c r="F38">
        <v>36.703982382088462</v>
      </c>
    </row>
    <row r="39" spans="1:6" x14ac:dyDescent="0.3">
      <c r="A39" s="1" t="s">
        <v>28</v>
      </c>
      <c r="B39">
        <v>14.210601108426886</v>
      </c>
      <c r="C39">
        <v>42.631803325280657</v>
      </c>
      <c r="D39">
        <v>99.4742077589882</v>
      </c>
      <c r="E39">
        <v>56.842404433707543</v>
      </c>
      <c r="F39">
        <v>56.842404433707543</v>
      </c>
    </row>
    <row r="40" spans="1:6" x14ac:dyDescent="0.3">
      <c r="A40" s="1" t="s">
        <v>29</v>
      </c>
      <c r="B40">
        <v>61.32147784761613</v>
      </c>
      <c r="C40">
        <v>160.96887934999233</v>
      </c>
      <c r="D40">
        <v>15.330369461904032</v>
      </c>
      <c r="E40">
        <v>45.991108385712096</v>
      </c>
      <c r="F40">
        <v>91.982216771424191</v>
      </c>
    </row>
    <row r="41" spans="1:6" x14ac:dyDescent="0.3">
      <c r="A41" s="1" t="s">
        <v>30</v>
      </c>
      <c r="B41">
        <v>54.878048780487802</v>
      </c>
      <c r="C41">
        <v>42.68292682926829</v>
      </c>
      <c r="D41">
        <v>85.365853658536579</v>
      </c>
      <c r="E41">
        <v>24.390243902439025</v>
      </c>
      <c r="F41">
        <v>121.95121951219512</v>
      </c>
    </row>
    <row r="42" spans="1:6" x14ac:dyDescent="0.3">
      <c r="A42" s="1" t="s">
        <v>31</v>
      </c>
      <c r="B42">
        <v>69.074402999802643</v>
      </c>
      <c r="C42">
        <v>69.074402999802643</v>
      </c>
      <c r="D42">
        <v>72.662683675117066</v>
      </c>
      <c r="E42">
        <v>64.589052155659616</v>
      </c>
      <c r="F42">
        <v>64.589052155659616</v>
      </c>
    </row>
    <row r="43" spans="1:6" x14ac:dyDescent="0.3">
      <c r="A43" s="1" t="s">
        <v>32</v>
      </c>
      <c r="B43">
        <v>48.905449464368886</v>
      </c>
      <c r="C43">
        <v>60.549604098742428</v>
      </c>
      <c r="D43">
        <v>34.932463903120635</v>
      </c>
      <c r="E43">
        <v>30.274802049371214</v>
      </c>
      <c r="F43">
        <v>41.91895668374476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5F80-D92D-4416-9319-BBDA0C6FF9B4}">
  <dimension ref="A1:H44"/>
  <sheetViews>
    <sheetView workbookViewId="0">
      <selection activeCell="A2" sqref="A2:A43"/>
    </sheetView>
  </sheetViews>
  <sheetFormatPr baseColWidth="10" defaultRowHeight="14.4" x14ac:dyDescent="0.3"/>
  <sheetData>
    <row r="1" spans="1:6" ht="37.799999999999997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26.086113988864959</v>
      </c>
      <c r="C2">
        <v>24.858532154094842</v>
      </c>
      <c r="D2">
        <v>15.388615143011092</v>
      </c>
      <c r="E2">
        <v>20.518153524014789</v>
      </c>
      <c r="F2">
        <v>20.737364565938027</v>
      </c>
    </row>
    <row r="3" spans="1:6" x14ac:dyDescent="0.3">
      <c r="A3" s="1" t="s">
        <v>39</v>
      </c>
      <c r="B3">
        <v>14.107356986668547</v>
      </c>
      <c r="C3">
        <v>7.0536784933342735</v>
      </c>
      <c r="D3">
        <v>28.214713973337094</v>
      </c>
      <c r="E3">
        <v>21.16103548000282</v>
      </c>
      <c r="F3">
        <v>0</v>
      </c>
    </row>
    <row r="4" spans="1:6" x14ac:dyDescent="0.3">
      <c r="A4" s="1" t="s">
        <v>40</v>
      </c>
      <c r="B4">
        <v>39.339103068450036</v>
      </c>
      <c r="C4">
        <v>4.3710114520500039</v>
      </c>
      <c r="D4">
        <v>13.113034356150013</v>
      </c>
      <c r="E4">
        <v>17.484045808200015</v>
      </c>
      <c r="F4">
        <v>26.226068712300027</v>
      </c>
    </row>
    <row r="5" spans="1:6" x14ac:dyDescent="0.3">
      <c r="A5" s="1" t="s">
        <v>33</v>
      </c>
      <c r="B5">
        <v>17.110591456111333</v>
      </c>
      <c r="C5">
        <v>0</v>
      </c>
      <c r="D5">
        <v>28.517652426852219</v>
      </c>
      <c r="E5">
        <v>11.407060970740888</v>
      </c>
      <c r="F5">
        <v>17.110591456111333</v>
      </c>
    </row>
    <row r="6" spans="1:6" x14ac:dyDescent="0.3">
      <c r="A6" s="1" t="s">
        <v>6</v>
      </c>
      <c r="B6">
        <v>19.076688286913392</v>
      </c>
      <c r="C6">
        <v>0</v>
      </c>
      <c r="D6">
        <v>0</v>
      </c>
      <c r="E6">
        <v>19.076688286913392</v>
      </c>
      <c r="F6">
        <v>19.076688286913392</v>
      </c>
    </row>
    <row r="7" spans="1:6" x14ac:dyDescent="0.3">
      <c r="A7" s="1" t="s">
        <v>41</v>
      </c>
      <c r="B7">
        <v>6.2849600905034251</v>
      </c>
      <c r="C7">
        <v>0</v>
      </c>
      <c r="D7">
        <v>0</v>
      </c>
      <c r="E7">
        <v>6.2849600905034251</v>
      </c>
      <c r="F7">
        <v>31.424800452517125</v>
      </c>
    </row>
    <row r="8" spans="1:6" x14ac:dyDescent="0.3">
      <c r="A8" s="1" t="s">
        <v>34</v>
      </c>
      <c r="B8">
        <v>31.988040906686766</v>
      </c>
      <c r="C8">
        <v>76.011186312919051</v>
      </c>
      <c r="D8">
        <v>81.39531201008414</v>
      </c>
      <c r="E8">
        <v>50.040697656005037</v>
      </c>
      <c r="F8">
        <v>49.723984379701207</v>
      </c>
    </row>
    <row r="9" spans="1:6" x14ac:dyDescent="0.3">
      <c r="A9" s="1" t="s">
        <v>35</v>
      </c>
      <c r="B9">
        <v>22.211329309763794</v>
      </c>
      <c r="C9">
        <v>11.488618608498514</v>
      </c>
      <c r="D9">
        <v>19.913605588064094</v>
      </c>
      <c r="E9">
        <v>16.849973959131155</v>
      </c>
      <c r="F9">
        <v>32.934040011029076</v>
      </c>
    </row>
    <row r="10" spans="1:6" x14ac:dyDescent="0.3">
      <c r="A10" s="1" t="s">
        <v>36</v>
      </c>
      <c r="B10">
        <v>32.294526077829808</v>
      </c>
      <c r="C10">
        <v>8.0736315194574519</v>
      </c>
      <c r="D10">
        <v>20.184078798643629</v>
      </c>
      <c r="E10">
        <v>24.220894558372358</v>
      </c>
      <c r="F10">
        <v>40.368157597287258</v>
      </c>
    </row>
    <row r="11" spans="1:6" x14ac:dyDescent="0.3">
      <c r="A11" s="1" t="s">
        <v>7</v>
      </c>
      <c r="B11">
        <v>13.850895114096749</v>
      </c>
      <c r="C11">
        <v>6.9254475570483747</v>
      </c>
      <c r="D11">
        <v>10.388171335572562</v>
      </c>
      <c r="E11">
        <v>6.9254475570483747</v>
      </c>
      <c r="F11">
        <v>6.9254475570483747</v>
      </c>
    </row>
    <row r="12" spans="1:6" x14ac:dyDescent="0.3">
      <c r="A12" s="1" t="s">
        <v>102</v>
      </c>
      <c r="B12">
        <v>27.034333603676668</v>
      </c>
      <c r="C12">
        <v>0</v>
      </c>
      <c r="D12">
        <v>21.627466882941334</v>
      </c>
      <c r="E12">
        <v>27.034333603676668</v>
      </c>
      <c r="F12">
        <v>21.627466882941334</v>
      </c>
    </row>
    <row r="13" spans="1:6" x14ac:dyDescent="0.3">
      <c r="A13" s="1" t="s">
        <v>9</v>
      </c>
      <c r="B13">
        <v>14.67305293827885</v>
      </c>
      <c r="C13">
        <v>13.62497772840179</v>
      </c>
      <c r="D13">
        <v>17.817278567910034</v>
      </c>
      <c r="E13">
        <v>15.721128148155911</v>
      </c>
      <c r="F13">
        <v>18.865353777787092</v>
      </c>
    </row>
    <row r="14" spans="1:6" x14ac:dyDescent="0.3">
      <c r="A14" s="1" t="s">
        <v>10</v>
      </c>
      <c r="B14">
        <v>20.859407592824365</v>
      </c>
      <c r="C14">
        <v>12.22792858889704</v>
      </c>
      <c r="D14">
        <v>21.578697509818305</v>
      </c>
      <c r="E14">
        <v>17.98224792484859</v>
      </c>
      <c r="F14">
        <v>17.98224792484859</v>
      </c>
    </row>
    <row r="15" spans="1:6" x14ac:dyDescent="0.3">
      <c r="A15" s="1" t="s">
        <v>11</v>
      </c>
      <c r="B15">
        <v>6.0446092160141847</v>
      </c>
      <c r="C15">
        <v>22.163567125385345</v>
      </c>
      <c r="D15">
        <v>32.237915818742323</v>
      </c>
      <c r="E15">
        <v>30.223046080070926</v>
      </c>
      <c r="F15">
        <v>46.342003989442084</v>
      </c>
    </row>
    <row r="16" spans="1:6" x14ac:dyDescent="0.3">
      <c r="A16" s="1" t="s">
        <v>42</v>
      </c>
      <c r="B16">
        <v>0</v>
      </c>
      <c r="C16">
        <v>11.534025374855824</v>
      </c>
      <c r="D16">
        <v>34.602076124567475</v>
      </c>
      <c r="E16">
        <v>23.068050749711649</v>
      </c>
      <c r="F16">
        <v>0</v>
      </c>
    </row>
    <row r="17" spans="1:6" x14ac:dyDescent="0.3">
      <c r="A17" s="1" t="s">
        <v>12</v>
      </c>
      <c r="B17">
        <v>0</v>
      </c>
      <c r="C17">
        <v>0</v>
      </c>
      <c r="D17">
        <v>30.358227079538558</v>
      </c>
      <c r="E17">
        <v>0</v>
      </c>
      <c r="F17">
        <v>15.179113539769279</v>
      </c>
    </row>
    <row r="18" spans="1:6" x14ac:dyDescent="0.3">
      <c r="A18" s="1" t="s">
        <v>13</v>
      </c>
      <c r="B18">
        <v>8.6428929491279334</v>
      </c>
      <c r="C18">
        <v>15.557207308430279</v>
      </c>
      <c r="D18">
        <v>8.6428929491279334</v>
      </c>
      <c r="E18">
        <v>19.014364488081451</v>
      </c>
      <c r="F18">
        <v>29.385836027034969</v>
      </c>
    </row>
    <row r="19" spans="1:6" x14ac:dyDescent="0.3">
      <c r="A19" s="1" t="s">
        <v>14</v>
      </c>
      <c r="B19">
        <v>0</v>
      </c>
      <c r="C19">
        <v>22.925263640531867</v>
      </c>
      <c r="D19">
        <v>22.925263640531867</v>
      </c>
      <c r="E19">
        <v>0</v>
      </c>
      <c r="F19">
        <v>22.925263640531867</v>
      </c>
    </row>
    <row r="20" spans="1:6" x14ac:dyDescent="0.3">
      <c r="A20" s="1" t="s">
        <v>15</v>
      </c>
      <c r="B20">
        <v>6.8155872480362589</v>
      </c>
      <c r="C20">
        <v>17.038968120090647</v>
      </c>
      <c r="D20">
        <v>10.223380872054388</v>
      </c>
      <c r="E20">
        <v>37.485729864199421</v>
      </c>
      <c r="F20">
        <v>35.781833052190358</v>
      </c>
    </row>
    <row r="21" spans="1:6" x14ac:dyDescent="0.3">
      <c r="A21" s="1" t="s">
        <v>16</v>
      </c>
      <c r="B21">
        <v>17.13796058269066</v>
      </c>
      <c r="C21">
        <v>25.70694087403599</v>
      </c>
      <c r="D21">
        <v>42.844901456726653</v>
      </c>
      <c r="E21">
        <v>85.689802913453306</v>
      </c>
      <c r="F21">
        <v>34.27592116538132</v>
      </c>
    </row>
    <row r="22" spans="1:6" x14ac:dyDescent="0.3">
      <c r="A22" s="1" t="s">
        <v>43</v>
      </c>
      <c r="B22">
        <v>20.588235294117645</v>
      </c>
      <c r="C22">
        <v>8.8235294117647047</v>
      </c>
      <c r="D22">
        <v>20.588235294117645</v>
      </c>
      <c r="E22">
        <v>11.76470588235294</v>
      </c>
      <c r="F22">
        <v>58.823529411764703</v>
      </c>
    </row>
    <row r="23" spans="1:6" x14ac:dyDescent="0.3">
      <c r="A23" s="1" t="s">
        <v>44</v>
      </c>
      <c r="B23">
        <v>29.536862003780715</v>
      </c>
      <c r="C23">
        <v>38.988657844990549</v>
      </c>
      <c r="D23">
        <v>22.448015122873343</v>
      </c>
      <c r="E23">
        <v>34.262759924385634</v>
      </c>
      <c r="F23">
        <v>38.39792060491493</v>
      </c>
    </row>
    <row r="24" spans="1:6" x14ac:dyDescent="0.3">
      <c r="A24" s="1" t="s">
        <v>17</v>
      </c>
      <c r="B24">
        <v>5.9822924144532186</v>
      </c>
      <c r="C24">
        <v>35.89375448671931</v>
      </c>
      <c r="D24">
        <v>23.929169657812874</v>
      </c>
      <c r="E24">
        <v>5.9822924144532186</v>
      </c>
      <c r="F24">
        <v>35.89375448671931</v>
      </c>
    </row>
    <row r="25" spans="1:6" x14ac:dyDescent="0.3">
      <c r="A25" s="1" t="s">
        <v>45</v>
      </c>
      <c r="B25">
        <v>8.5878682048492827</v>
      </c>
      <c r="C25">
        <v>17.175736409698565</v>
      </c>
      <c r="D25">
        <v>34.351472819397131</v>
      </c>
      <c r="E25">
        <v>20.038359144648329</v>
      </c>
      <c r="F25">
        <v>94.46655025334212</v>
      </c>
    </row>
    <row r="26" spans="1:6" x14ac:dyDescent="0.3">
      <c r="A26" s="1" t="s">
        <v>37</v>
      </c>
      <c r="B26">
        <v>8.3222370173102522</v>
      </c>
      <c r="C26">
        <v>16.644474034620504</v>
      </c>
      <c r="D26">
        <v>16.644474034620504</v>
      </c>
      <c r="E26">
        <v>16.644474034620504</v>
      </c>
      <c r="F26">
        <v>24.966711051930758</v>
      </c>
    </row>
    <row r="27" spans="1:6" x14ac:dyDescent="0.3">
      <c r="A27" s="1" t="s">
        <v>18</v>
      </c>
      <c r="B27">
        <v>8.2014270483064049</v>
      </c>
      <c r="C27">
        <v>0</v>
      </c>
      <c r="D27">
        <v>41.007135241532026</v>
      </c>
      <c r="E27">
        <v>24.604281144919216</v>
      </c>
      <c r="F27">
        <v>32.80570819322562</v>
      </c>
    </row>
    <row r="28" spans="1:6" x14ac:dyDescent="0.3">
      <c r="A28" s="1" t="s">
        <v>19</v>
      </c>
      <c r="B28">
        <v>10.311979175376109</v>
      </c>
      <c r="C28">
        <v>14.771213413376588</v>
      </c>
      <c r="D28">
        <v>14.492511273501558</v>
      </c>
      <c r="E28">
        <v>20.066554071002155</v>
      </c>
      <c r="F28">
        <v>26.755405428002877</v>
      </c>
    </row>
    <row r="29" spans="1:6" x14ac:dyDescent="0.3">
      <c r="A29" s="1" t="s">
        <v>20</v>
      </c>
      <c r="B29">
        <v>14.353085913471396</v>
      </c>
      <c r="C29">
        <v>16.403526758253022</v>
      </c>
      <c r="D29">
        <v>8.2017633791265112</v>
      </c>
      <c r="E29">
        <v>28.706171826942793</v>
      </c>
      <c r="F29">
        <v>38.95837605085093</v>
      </c>
    </row>
    <row r="30" spans="1:6" x14ac:dyDescent="0.3">
      <c r="A30" s="1" t="s">
        <v>21</v>
      </c>
      <c r="B30">
        <v>19.359834796076409</v>
      </c>
      <c r="C30">
        <v>0</v>
      </c>
      <c r="D30">
        <v>19.359834796076409</v>
      </c>
      <c r="E30">
        <v>12.906556530717605</v>
      </c>
      <c r="F30">
        <v>19.359834796076409</v>
      </c>
    </row>
    <row r="31" spans="1:6" x14ac:dyDescent="0.3">
      <c r="A31" s="1" t="s">
        <v>46</v>
      </c>
      <c r="B31">
        <v>19.160758766047138</v>
      </c>
      <c r="C31">
        <v>6.3869195886823791</v>
      </c>
      <c r="D31">
        <v>38.321517532094276</v>
      </c>
      <c r="E31">
        <v>19.160758766047138</v>
      </c>
      <c r="F31">
        <v>38.321517532094276</v>
      </c>
    </row>
    <row r="32" spans="1:6" x14ac:dyDescent="0.3">
      <c r="A32" s="1" t="s">
        <v>22</v>
      </c>
      <c r="B32">
        <v>16.108247422680414</v>
      </c>
      <c r="C32">
        <v>10.738831615120276</v>
      </c>
      <c r="D32">
        <v>24.162371134020621</v>
      </c>
      <c r="E32">
        <v>8.0541237113402069</v>
      </c>
      <c r="F32">
        <v>16.108247422680414</v>
      </c>
    </row>
    <row r="33" spans="1:8" x14ac:dyDescent="0.3">
      <c r="A33" s="1" t="s">
        <v>23</v>
      </c>
      <c r="B33">
        <v>22.962112514351322</v>
      </c>
      <c r="C33">
        <v>17.221584385763492</v>
      </c>
      <c r="D33">
        <v>28.702640642939151</v>
      </c>
      <c r="E33">
        <v>28.702640642939151</v>
      </c>
      <c r="F33">
        <v>22.962112514351322</v>
      </c>
    </row>
    <row r="34" spans="1:8" x14ac:dyDescent="0.3">
      <c r="A34" s="1" t="s">
        <v>24</v>
      </c>
      <c r="B34">
        <v>31.197504199664024</v>
      </c>
      <c r="C34">
        <v>9.5992320614350852</v>
      </c>
      <c r="D34">
        <v>9.5992320614350852</v>
      </c>
      <c r="E34">
        <v>19.19846412287017</v>
      </c>
      <c r="F34">
        <v>38.396928245740341</v>
      </c>
    </row>
    <row r="35" spans="1:8" x14ac:dyDescent="0.3">
      <c r="A35" s="1" t="s">
        <v>25</v>
      </c>
      <c r="B35">
        <v>6.8634179821551138</v>
      </c>
      <c r="C35">
        <v>0</v>
      </c>
      <c r="D35">
        <v>6.8634179821551138</v>
      </c>
      <c r="E35">
        <v>13.726835964310228</v>
      </c>
      <c r="F35">
        <v>61.770761839396023</v>
      </c>
    </row>
    <row r="36" spans="1:8" x14ac:dyDescent="0.3">
      <c r="A36" s="1" t="s">
        <v>26</v>
      </c>
      <c r="B36">
        <v>15.608740894901144</v>
      </c>
      <c r="C36">
        <v>20.811654526534859</v>
      </c>
      <c r="D36">
        <v>26.014568158168572</v>
      </c>
      <c r="E36">
        <v>15.608740894901144</v>
      </c>
      <c r="F36">
        <v>57.232049947970857</v>
      </c>
    </row>
    <row r="37" spans="1:8" x14ac:dyDescent="0.3">
      <c r="A37" s="1" t="s">
        <v>47</v>
      </c>
      <c r="B37">
        <v>39.710474540170758</v>
      </c>
      <c r="C37">
        <v>27.977834335120306</v>
      </c>
      <c r="D37">
        <v>64.98077652027942</v>
      </c>
      <c r="E37">
        <v>50.089348567715383</v>
      </c>
      <c r="F37">
        <v>56.858179455244489</v>
      </c>
    </row>
    <row r="38" spans="1:8" x14ac:dyDescent="0.3">
      <c r="A38" s="1" t="s">
        <v>27</v>
      </c>
      <c r="B38">
        <v>0</v>
      </c>
      <c r="C38">
        <v>18.351991191044231</v>
      </c>
      <c r="D38">
        <v>36.703982382088462</v>
      </c>
      <c r="E38">
        <v>18.351991191044231</v>
      </c>
      <c r="F38">
        <v>0</v>
      </c>
    </row>
    <row r="39" spans="1:8" x14ac:dyDescent="0.3">
      <c r="A39" s="1" t="s">
        <v>28</v>
      </c>
      <c r="B39">
        <v>0</v>
      </c>
      <c r="C39">
        <v>0</v>
      </c>
      <c r="D39">
        <v>14.210601108426886</v>
      </c>
      <c r="E39">
        <v>14.210601108426886</v>
      </c>
      <c r="F39">
        <v>28.421202216853771</v>
      </c>
    </row>
    <row r="40" spans="1:8" x14ac:dyDescent="0.3">
      <c r="A40" s="1" t="s">
        <v>29</v>
      </c>
      <c r="B40">
        <v>7.6651847309520162</v>
      </c>
      <c r="C40">
        <v>61.32147784761613</v>
      </c>
      <c r="D40">
        <v>15.330369461904032</v>
      </c>
      <c r="E40">
        <v>7.6651847309520162</v>
      </c>
      <c r="F40">
        <v>0</v>
      </c>
    </row>
    <row r="41" spans="1:8" x14ac:dyDescent="0.3">
      <c r="A41" s="1" t="s">
        <v>30</v>
      </c>
      <c r="B41">
        <v>24.390243902439025</v>
      </c>
      <c r="C41">
        <v>24.390243902439025</v>
      </c>
      <c r="D41">
        <v>18.292682926829269</v>
      </c>
      <c r="E41">
        <v>6.0975609756097562</v>
      </c>
      <c r="F41">
        <v>18.292682926829269</v>
      </c>
    </row>
    <row r="42" spans="1:8" x14ac:dyDescent="0.3">
      <c r="A42" s="1" t="s">
        <v>31</v>
      </c>
      <c r="B42">
        <v>8.9707016882860575</v>
      </c>
      <c r="C42">
        <v>24.220894558372354</v>
      </c>
      <c r="D42">
        <v>16.147263038914904</v>
      </c>
      <c r="E42">
        <v>20.632613883057932</v>
      </c>
      <c r="F42">
        <v>21.529684051886537</v>
      </c>
    </row>
    <row r="43" spans="1:8" x14ac:dyDescent="0.3">
      <c r="A43" s="1" t="s">
        <v>32</v>
      </c>
      <c r="B43">
        <v>2.3288309268747089</v>
      </c>
      <c r="C43">
        <v>16.301816488122963</v>
      </c>
      <c r="D43">
        <v>27.945971122496506</v>
      </c>
      <c r="E43">
        <v>16.301816488122963</v>
      </c>
      <c r="F43">
        <v>32.603632976245926</v>
      </c>
    </row>
    <row r="44" spans="1:8" x14ac:dyDescent="0.3">
      <c r="H44" s="3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D765-F486-4C8D-A325-CB22B44C7970}">
  <dimension ref="A1:F43"/>
  <sheetViews>
    <sheetView workbookViewId="0">
      <selection activeCell="A2" sqref="A2:A43"/>
    </sheetView>
  </sheetViews>
  <sheetFormatPr baseColWidth="10" defaultRowHeight="14.4" x14ac:dyDescent="0.3"/>
  <sheetData>
    <row r="1" spans="1:6" ht="37.799999999999997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108.99173004423241</v>
      </c>
      <c r="C2">
        <v>183.9180641735941</v>
      </c>
      <c r="D2">
        <v>203.64705794668527</v>
      </c>
      <c r="E2">
        <v>142.44333504171806</v>
      </c>
      <c r="F2">
        <v>104.47598258061377</v>
      </c>
    </row>
    <row r="3" spans="1:6" x14ac:dyDescent="0.3">
      <c r="A3" s="1" t="s">
        <v>39</v>
      </c>
      <c r="B3">
        <v>303.30817521337377</v>
      </c>
      <c r="C3">
        <v>162.23460534668828</v>
      </c>
      <c r="D3">
        <v>112.85885589334838</v>
      </c>
      <c r="E3">
        <v>77.590463426677005</v>
      </c>
      <c r="F3">
        <v>42.32207096000564</v>
      </c>
    </row>
    <row r="4" spans="1:6" x14ac:dyDescent="0.3">
      <c r="A4" s="1" t="s">
        <v>40</v>
      </c>
      <c r="B4">
        <v>113.6462977533001</v>
      </c>
      <c r="C4">
        <v>83.049217588950086</v>
      </c>
      <c r="D4">
        <v>152.98540082175015</v>
      </c>
      <c r="E4">
        <v>83.049217588950086</v>
      </c>
      <c r="F4">
        <v>131.13034356150013</v>
      </c>
    </row>
    <row r="5" spans="1:6" x14ac:dyDescent="0.3">
      <c r="A5" s="1" t="s">
        <v>33</v>
      </c>
      <c r="B5">
        <v>68.442365824445332</v>
      </c>
      <c r="C5">
        <v>102.66354873666799</v>
      </c>
      <c r="D5">
        <v>85.552957280556654</v>
      </c>
      <c r="E5">
        <v>34.221182912222666</v>
      </c>
      <c r="F5">
        <v>62.738835339074882</v>
      </c>
    </row>
    <row r="6" spans="1:6" x14ac:dyDescent="0.3">
      <c r="A6" s="1" t="s">
        <v>6</v>
      </c>
      <c r="B6">
        <v>19.076688286913392</v>
      </c>
      <c r="C6">
        <v>0</v>
      </c>
      <c r="D6">
        <v>38.153376573826783</v>
      </c>
      <c r="E6">
        <v>0</v>
      </c>
      <c r="F6">
        <v>38.153376573826783</v>
      </c>
    </row>
    <row r="7" spans="1:6" x14ac:dyDescent="0.3">
      <c r="A7" s="1" t="s">
        <v>41</v>
      </c>
      <c r="B7">
        <v>69.134560995537683</v>
      </c>
      <c r="C7">
        <v>25.1398403620137</v>
      </c>
      <c r="D7">
        <v>150.8390421720822</v>
      </c>
      <c r="E7">
        <v>207.40368298661303</v>
      </c>
      <c r="F7">
        <v>119.41424171956508</v>
      </c>
    </row>
    <row r="8" spans="1:6" x14ac:dyDescent="0.3">
      <c r="A8" s="1" t="s">
        <v>34</v>
      </c>
      <c r="B8">
        <v>66.826501300107992</v>
      </c>
      <c r="C8">
        <v>161.52377091495296</v>
      </c>
      <c r="D8">
        <v>250.2034882800252</v>
      </c>
      <c r="E8">
        <v>162.79062402016828</v>
      </c>
      <c r="F8">
        <v>121.61789810067047</v>
      </c>
    </row>
    <row r="9" spans="1:6" x14ac:dyDescent="0.3">
      <c r="A9" s="1" t="s">
        <v>35</v>
      </c>
      <c r="B9">
        <v>99.568027940320462</v>
      </c>
      <c r="C9">
        <v>114.88618608498516</v>
      </c>
      <c r="D9">
        <v>101.09984375478693</v>
      </c>
      <c r="E9">
        <v>98.802120033087235</v>
      </c>
      <c r="F9">
        <v>114.12027817775191</v>
      </c>
    </row>
    <row r="10" spans="1:6" x14ac:dyDescent="0.3">
      <c r="A10" s="1" t="s">
        <v>36</v>
      </c>
      <c r="B10">
        <v>149.36218310996287</v>
      </c>
      <c r="C10">
        <v>153.39899886969158</v>
      </c>
      <c r="D10">
        <v>262.39302438236717</v>
      </c>
      <c r="E10">
        <v>234.13531406426611</v>
      </c>
      <c r="F10">
        <v>185.69352494752141</v>
      </c>
    </row>
    <row r="11" spans="1:6" x14ac:dyDescent="0.3">
      <c r="A11" s="1" t="s">
        <v>7</v>
      </c>
      <c r="B11">
        <v>58.866304234911183</v>
      </c>
      <c r="C11">
        <v>41.552685342290246</v>
      </c>
      <c r="D11">
        <v>110.80716091277399</v>
      </c>
      <c r="E11">
        <v>96.956265798677236</v>
      </c>
      <c r="F11">
        <v>96.956265798677236</v>
      </c>
    </row>
    <row r="12" spans="1:6" x14ac:dyDescent="0.3">
      <c r="A12" s="1" t="s">
        <v>102</v>
      </c>
      <c r="B12">
        <v>113.54420113544201</v>
      </c>
      <c r="C12">
        <v>54.068667207353336</v>
      </c>
      <c r="D12">
        <v>48.661800486618006</v>
      </c>
      <c r="E12">
        <v>178.42660178426601</v>
      </c>
      <c r="F12">
        <v>102.73046769397135</v>
      </c>
    </row>
    <row r="13" spans="1:6" x14ac:dyDescent="0.3">
      <c r="A13" s="1" t="s">
        <v>9</v>
      </c>
      <c r="B13">
        <v>113.19212266672255</v>
      </c>
      <c r="C13">
        <v>164.54780795069854</v>
      </c>
      <c r="D13">
        <v>136.24977728401791</v>
      </c>
      <c r="E13">
        <v>163.49973274082149</v>
      </c>
      <c r="F13">
        <v>178.17278567910031</v>
      </c>
    </row>
    <row r="14" spans="1:6" x14ac:dyDescent="0.3">
      <c r="A14" s="1" t="s">
        <v>10</v>
      </c>
      <c r="B14">
        <v>33.087336181721405</v>
      </c>
      <c r="C14">
        <v>42.438105102642666</v>
      </c>
      <c r="D14">
        <v>40.999525268654786</v>
      </c>
      <c r="E14">
        <v>59.701063110497316</v>
      </c>
      <c r="F14">
        <v>64.016802612460978</v>
      </c>
    </row>
    <row r="15" spans="1:6" x14ac:dyDescent="0.3">
      <c r="A15" s="1" t="s">
        <v>11</v>
      </c>
      <c r="B15">
        <v>118.87731458161231</v>
      </c>
      <c r="C15">
        <v>161.18957909371159</v>
      </c>
      <c r="D15">
        <v>207.53158308315369</v>
      </c>
      <c r="E15">
        <v>139.02601196832626</v>
      </c>
      <c r="F15">
        <v>137.01114222965487</v>
      </c>
    </row>
    <row r="16" spans="1:6" x14ac:dyDescent="0.3">
      <c r="A16" s="1" t="s">
        <v>42</v>
      </c>
      <c r="B16">
        <v>11.534025374855824</v>
      </c>
      <c r="C16">
        <v>0</v>
      </c>
      <c r="D16">
        <v>46.136101499423297</v>
      </c>
      <c r="E16">
        <v>80.738177623990779</v>
      </c>
      <c r="F16">
        <v>11.534025374855824</v>
      </c>
    </row>
    <row r="17" spans="1:6" x14ac:dyDescent="0.3">
      <c r="A17" s="1" t="s">
        <v>12</v>
      </c>
      <c r="B17">
        <v>60.716454159077117</v>
      </c>
      <c r="C17">
        <v>15.179113539769279</v>
      </c>
      <c r="D17">
        <v>15.179113539769279</v>
      </c>
      <c r="E17">
        <v>45.537340619307834</v>
      </c>
      <c r="F17">
        <v>0</v>
      </c>
    </row>
    <row r="18" spans="1:6" x14ac:dyDescent="0.3">
      <c r="A18" s="1" t="s">
        <v>13</v>
      </c>
      <c r="B18">
        <v>82.971772311628158</v>
      </c>
      <c r="C18">
        <v>164.21496603343073</v>
      </c>
      <c r="D18">
        <v>126.18623705726782</v>
      </c>
      <c r="E18">
        <v>122.72907987761664</v>
      </c>
      <c r="F18">
        <v>152.11491590465161</v>
      </c>
    </row>
    <row r="19" spans="1:6" x14ac:dyDescent="0.3">
      <c r="A19" s="1" t="s">
        <v>14</v>
      </c>
      <c r="B19">
        <v>57.313159101329667</v>
      </c>
      <c r="C19">
        <v>34.3878954607978</v>
      </c>
      <c r="D19">
        <v>34.3878954607978</v>
      </c>
      <c r="E19">
        <v>57.313159101329667</v>
      </c>
      <c r="F19">
        <v>114.62631820265933</v>
      </c>
    </row>
    <row r="20" spans="1:6" x14ac:dyDescent="0.3">
      <c r="A20" s="1" t="s">
        <v>15</v>
      </c>
      <c r="B20">
        <v>92.010427848489485</v>
      </c>
      <c r="C20">
        <v>255.5845218013597</v>
      </c>
      <c r="D20">
        <v>211.28320468912401</v>
      </c>
      <c r="E20">
        <v>313.51701340966792</v>
      </c>
      <c r="F20">
        <v>182.31695888496992</v>
      </c>
    </row>
    <row r="21" spans="1:6" x14ac:dyDescent="0.3">
      <c r="A21" s="1" t="s">
        <v>16</v>
      </c>
      <c r="B21">
        <v>55.698371893744643</v>
      </c>
      <c r="C21">
        <v>72.836332476435302</v>
      </c>
      <c r="D21">
        <v>107.11225364181662</v>
      </c>
      <c r="E21">
        <v>124.25021422450729</v>
      </c>
      <c r="F21">
        <v>184.2330762639246</v>
      </c>
    </row>
    <row r="22" spans="1:6" x14ac:dyDescent="0.3">
      <c r="A22" s="1" t="s">
        <v>43</v>
      </c>
      <c r="B22">
        <v>79.411764705882348</v>
      </c>
      <c r="C22">
        <v>141.17647058823528</v>
      </c>
      <c r="D22">
        <v>55.882352941176464</v>
      </c>
      <c r="E22">
        <v>144.11764705882351</v>
      </c>
      <c r="F22">
        <v>138.23529411764704</v>
      </c>
    </row>
    <row r="23" spans="1:6" x14ac:dyDescent="0.3">
      <c r="A23" s="1" t="s">
        <v>44</v>
      </c>
      <c r="B23">
        <v>162.45274102079395</v>
      </c>
      <c r="C23">
        <v>227.43383742911152</v>
      </c>
      <c r="D23">
        <v>278.82797731568996</v>
      </c>
      <c r="E23">
        <v>284.14461247637047</v>
      </c>
      <c r="F23">
        <v>306.59262759924383</v>
      </c>
    </row>
    <row r="24" spans="1:6" x14ac:dyDescent="0.3">
      <c r="A24" s="1" t="s">
        <v>17</v>
      </c>
      <c r="B24">
        <v>47.858339315625749</v>
      </c>
      <c r="C24">
        <v>167.50418760469012</v>
      </c>
      <c r="D24">
        <v>71.787508973438619</v>
      </c>
      <c r="E24">
        <v>185.45106484804978</v>
      </c>
      <c r="F24">
        <v>89.734386216798271</v>
      </c>
    </row>
    <row r="25" spans="1:6" x14ac:dyDescent="0.3">
      <c r="A25" s="1" t="s">
        <v>45</v>
      </c>
      <c r="B25">
        <v>105.91704119314116</v>
      </c>
      <c r="C25">
        <v>71.565568373744028</v>
      </c>
      <c r="D25">
        <v>83.016059313543067</v>
      </c>
      <c r="E25">
        <v>83.016059313543067</v>
      </c>
      <c r="F25">
        <v>100.19179572324164</v>
      </c>
    </row>
    <row r="26" spans="1:6" x14ac:dyDescent="0.3">
      <c r="A26" s="1" t="s">
        <v>37</v>
      </c>
      <c r="B26">
        <v>33.288948069241009</v>
      </c>
      <c r="C26">
        <v>24.966711051930758</v>
      </c>
      <c r="D26">
        <v>66.577896138482018</v>
      </c>
      <c r="E26">
        <v>49.933422103861517</v>
      </c>
      <c r="F26">
        <v>174.76697736351531</v>
      </c>
    </row>
    <row r="27" spans="1:6" x14ac:dyDescent="0.3">
      <c r="A27" s="1" t="s">
        <v>18</v>
      </c>
      <c r="B27">
        <v>82.014270483064053</v>
      </c>
      <c r="C27">
        <v>32.80570819322562</v>
      </c>
      <c r="D27">
        <v>188.63282211104732</v>
      </c>
      <c r="E27">
        <v>57.40998933814484</v>
      </c>
      <c r="F27">
        <v>492.08562289838432</v>
      </c>
    </row>
    <row r="28" spans="1:6" x14ac:dyDescent="0.3">
      <c r="A28" s="1" t="s">
        <v>19</v>
      </c>
      <c r="B28">
        <v>91.414301879009827</v>
      </c>
      <c r="C28">
        <v>166.10647536551787</v>
      </c>
      <c r="D28">
        <v>180.04158235926934</v>
      </c>
      <c r="E28">
        <v>128.48168648238882</v>
      </c>
      <c r="F28">
        <v>139.35106993751498</v>
      </c>
    </row>
    <row r="29" spans="1:6" x14ac:dyDescent="0.3">
      <c r="A29" s="1" t="s">
        <v>20</v>
      </c>
      <c r="B29">
        <v>104.57248308386302</v>
      </c>
      <c r="C29">
        <v>207.09452532294443</v>
      </c>
      <c r="D29">
        <v>166.08570842731186</v>
      </c>
      <c r="E29">
        <v>192.74143940947303</v>
      </c>
      <c r="F29">
        <v>321.91921263071561</v>
      </c>
    </row>
    <row r="30" spans="1:6" x14ac:dyDescent="0.3">
      <c r="A30" s="1" t="s">
        <v>21</v>
      </c>
      <c r="B30">
        <v>64.532782653588029</v>
      </c>
      <c r="C30">
        <v>116.15900877645845</v>
      </c>
      <c r="D30">
        <v>116.15900877645845</v>
      </c>
      <c r="E30">
        <v>238.77129581827572</v>
      </c>
      <c r="F30">
        <v>180.69179143004649</v>
      </c>
    </row>
    <row r="31" spans="1:6" x14ac:dyDescent="0.3">
      <c r="A31" s="1" t="s">
        <v>46</v>
      </c>
      <c r="B31">
        <v>146.89915053969472</v>
      </c>
      <c r="C31">
        <v>153.2860701283771</v>
      </c>
      <c r="D31">
        <v>159.67298971705947</v>
      </c>
      <c r="E31">
        <v>229.92910519256566</v>
      </c>
      <c r="F31">
        <v>140.51223095101233</v>
      </c>
    </row>
    <row r="32" spans="1:6" x14ac:dyDescent="0.3">
      <c r="A32" s="1" t="s">
        <v>22</v>
      </c>
      <c r="B32">
        <v>102.01890034364261</v>
      </c>
      <c r="C32">
        <v>104.70360824742269</v>
      </c>
      <c r="D32">
        <v>110.07302405498282</v>
      </c>
      <c r="E32">
        <v>174.50601374570448</v>
      </c>
      <c r="F32">
        <v>198.6683848797251</v>
      </c>
    </row>
    <row r="33" spans="1:6" x14ac:dyDescent="0.3">
      <c r="A33" s="1" t="s">
        <v>23</v>
      </c>
      <c r="B33">
        <v>126.29161882893227</v>
      </c>
      <c r="C33">
        <v>74.626865671641795</v>
      </c>
      <c r="D33">
        <v>126.29161882893227</v>
      </c>
      <c r="E33">
        <v>86.107921928817461</v>
      </c>
      <c r="F33">
        <v>86.107921928817461</v>
      </c>
    </row>
    <row r="34" spans="1:6" x14ac:dyDescent="0.3">
      <c r="A34" s="1" t="s">
        <v>24</v>
      </c>
      <c r="B34">
        <v>71.994240460763137</v>
      </c>
      <c r="C34">
        <v>136.78905687544997</v>
      </c>
      <c r="D34">
        <v>155.98752099832012</v>
      </c>
      <c r="E34">
        <v>86.393088552915771</v>
      </c>
      <c r="F34">
        <v>124.7900167986561</v>
      </c>
    </row>
    <row r="35" spans="1:6" x14ac:dyDescent="0.3">
      <c r="A35" s="1" t="s">
        <v>25</v>
      </c>
      <c r="B35">
        <v>82.361015785861355</v>
      </c>
      <c r="C35">
        <v>41.180507892930677</v>
      </c>
      <c r="D35">
        <v>20.590253946465339</v>
      </c>
      <c r="E35">
        <v>41.180507892930677</v>
      </c>
      <c r="F35">
        <v>68.634179821551129</v>
      </c>
    </row>
    <row r="36" spans="1:6" x14ac:dyDescent="0.3">
      <c r="A36" s="1" t="s">
        <v>26</v>
      </c>
      <c r="B36">
        <v>41.623309053069718</v>
      </c>
      <c r="C36">
        <v>57.232049947970857</v>
      </c>
      <c r="D36">
        <v>124.86992715920915</v>
      </c>
      <c r="E36">
        <v>104.05827263267429</v>
      </c>
      <c r="F36">
        <v>78.043704474505716</v>
      </c>
    </row>
    <row r="37" spans="1:6" x14ac:dyDescent="0.3">
      <c r="A37" s="1" t="s">
        <v>47</v>
      </c>
      <c r="B37">
        <v>84.836013790364788</v>
      </c>
      <c r="C37">
        <v>85.287269182866737</v>
      </c>
      <c r="D37">
        <v>181.85592317828198</v>
      </c>
      <c r="E37">
        <v>138.53540549809571</v>
      </c>
      <c r="F37">
        <v>160.19566433818883</v>
      </c>
    </row>
    <row r="38" spans="1:6" x14ac:dyDescent="0.3">
      <c r="A38" s="1" t="s">
        <v>27</v>
      </c>
      <c r="B38">
        <v>183.51991191044229</v>
      </c>
      <c r="C38">
        <v>220.22389429253076</v>
      </c>
      <c r="D38">
        <v>238.57588548357498</v>
      </c>
      <c r="E38">
        <v>36.703982382088462</v>
      </c>
      <c r="F38">
        <v>36.703982382088462</v>
      </c>
    </row>
    <row r="39" spans="1:6" x14ac:dyDescent="0.3">
      <c r="A39" s="1" t="s">
        <v>28</v>
      </c>
      <c r="B39">
        <v>14.210601108426886</v>
      </c>
      <c r="C39">
        <v>42.631803325280657</v>
      </c>
      <c r="D39">
        <v>42.631803325280657</v>
      </c>
      <c r="E39">
        <v>71.053005542134429</v>
      </c>
      <c r="F39">
        <v>42.631803325280657</v>
      </c>
    </row>
    <row r="40" spans="1:6" x14ac:dyDescent="0.3">
      <c r="A40" s="1" t="s">
        <v>29</v>
      </c>
      <c r="B40">
        <v>91.982216771424191</v>
      </c>
      <c r="C40">
        <v>114.97777096428024</v>
      </c>
      <c r="D40">
        <v>222.29035719760847</v>
      </c>
      <c r="E40">
        <v>160.96887934999233</v>
      </c>
      <c r="F40">
        <v>107.31258623332823</v>
      </c>
    </row>
    <row r="41" spans="1:6" x14ac:dyDescent="0.3">
      <c r="A41" s="1" t="s">
        <v>30</v>
      </c>
      <c r="B41">
        <v>97.560975609756099</v>
      </c>
      <c r="C41">
        <v>146.34146341463415</v>
      </c>
      <c r="D41">
        <v>134.14634146341461</v>
      </c>
      <c r="E41">
        <v>195.1219512195122</v>
      </c>
      <c r="F41">
        <v>115.85365853658536</v>
      </c>
    </row>
    <row r="42" spans="1:6" x14ac:dyDescent="0.3">
      <c r="A42" s="1" t="s">
        <v>31</v>
      </c>
      <c r="B42">
        <v>99.574788739975233</v>
      </c>
      <c r="C42">
        <v>232.34117372660887</v>
      </c>
      <c r="D42">
        <v>207.22320899940792</v>
      </c>
      <c r="E42">
        <v>213.50270018120816</v>
      </c>
      <c r="F42">
        <v>175.82575309040672</v>
      </c>
    </row>
    <row r="43" spans="1:6" x14ac:dyDescent="0.3">
      <c r="A43" s="1" t="s">
        <v>32</v>
      </c>
      <c r="B43">
        <v>95.48206800186307</v>
      </c>
      <c r="C43">
        <v>83.83791336748952</v>
      </c>
      <c r="D43">
        <v>179.31998136935258</v>
      </c>
      <c r="E43">
        <v>128.08570097810897</v>
      </c>
      <c r="F43">
        <v>221.23893805309734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A03D-DA20-4389-BA45-E84A89D70CFA}">
  <dimension ref="A1:F43"/>
  <sheetViews>
    <sheetView zoomScale="107" workbookViewId="0">
      <selection activeCell="A2" sqref="A2:A43"/>
    </sheetView>
  </sheetViews>
  <sheetFormatPr baseColWidth="10" defaultRowHeight="14.4" x14ac:dyDescent="0.3"/>
  <sheetData>
    <row r="1" spans="1:6" ht="37.799999999999997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">
      <c r="A2" s="1" t="s">
        <v>5</v>
      </c>
      <c r="B2">
        <v>1010.7821143080363</v>
      </c>
      <c r="C2">
        <v>1267.5659288169138</v>
      </c>
      <c r="D2">
        <v>1451.8785728659695</v>
      </c>
      <c r="E2">
        <v>1375.1108659844529</v>
      </c>
      <c r="F2">
        <v>1300.447585105399</v>
      </c>
    </row>
    <row r="3" spans="1:6" x14ac:dyDescent="0.3">
      <c r="A3" s="1" t="s">
        <v>39</v>
      </c>
      <c r="B3">
        <v>338.57656768004512</v>
      </c>
      <c r="C3">
        <v>451.43542357339351</v>
      </c>
      <c r="D3">
        <v>451.43542357339351</v>
      </c>
      <c r="E3">
        <v>303.30817521337377</v>
      </c>
      <c r="F3">
        <v>387.95231713338507</v>
      </c>
    </row>
    <row r="4" spans="1:6" x14ac:dyDescent="0.3">
      <c r="A4" s="1" t="s">
        <v>40</v>
      </c>
      <c r="B4">
        <v>192.32450389020019</v>
      </c>
      <c r="C4">
        <v>244.77664131480023</v>
      </c>
      <c r="D4">
        <v>275.37372147915028</v>
      </c>
      <c r="E4">
        <v>253.51866421890023</v>
      </c>
      <c r="F4">
        <v>187.95349243815019</v>
      </c>
    </row>
    <row r="5" spans="1:6" x14ac:dyDescent="0.3">
      <c r="A5" s="1" t="s">
        <v>33</v>
      </c>
      <c r="B5">
        <v>125.47767067814976</v>
      </c>
      <c r="C5">
        <v>176.80944504648377</v>
      </c>
      <c r="D5">
        <v>233.84474990018819</v>
      </c>
      <c r="E5">
        <v>216.73415844407685</v>
      </c>
      <c r="F5">
        <v>176.80944504648377</v>
      </c>
    </row>
    <row r="6" spans="1:6" x14ac:dyDescent="0.3">
      <c r="A6" s="1" t="s">
        <v>6</v>
      </c>
      <c r="B6">
        <v>95.383441434566961</v>
      </c>
      <c r="C6">
        <v>133.53681800839374</v>
      </c>
      <c r="D6">
        <v>38.153376573826783</v>
      </c>
      <c r="E6">
        <v>114.46012972148034</v>
      </c>
      <c r="F6">
        <v>76.306753147653566</v>
      </c>
    </row>
    <row r="7" spans="1:6" x14ac:dyDescent="0.3">
      <c r="A7" s="1" t="s">
        <v>41</v>
      </c>
      <c r="B7">
        <v>56.564640814530826</v>
      </c>
      <c r="C7">
        <v>87.989441267047951</v>
      </c>
      <c r="D7">
        <v>188.54880271510277</v>
      </c>
      <c r="E7">
        <v>138.26912199107537</v>
      </c>
      <c r="F7">
        <v>119.41424171956508</v>
      </c>
    </row>
    <row r="8" spans="1:6" x14ac:dyDescent="0.3">
      <c r="A8" s="1" t="s">
        <v>34</v>
      </c>
      <c r="B8">
        <v>322.73082855360212</v>
      </c>
      <c r="C8">
        <v>402.54257418216713</v>
      </c>
      <c r="D8">
        <v>363.58684119679612</v>
      </c>
      <c r="E8">
        <v>378.47236518307608</v>
      </c>
      <c r="F8">
        <v>296.12691334408044</v>
      </c>
    </row>
    <row r="9" spans="1:6" x14ac:dyDescent="0.3">
      <c r="A9" s="1" t="s">
        <v>35</v>
      </c>
      <c r="B9">
        <v>328.5744922030575</v>
      </c>
      <c r="C9">
        <v>431.20615177231093</v>
      </c>
      <c r="D9">
        <v>628.0444839312521</v>
      </c>
      <c r="E9">
        <v>603.53543089978859</v>
      </c>
      <c r="F9">
        <v>543.02870622836315</v>
      </c>
    </row>
    <row r="10" spans="1:6" x14ac:dyDescent="0.3">
      <c r="A10" s="1" t="s">
        <v>36</v>
      </c>
      <c r="B10">
        <v>177.61989342806393</v>
      </c>
      <c r="C10">
        <v>335.05570805748425</v>
      </c>
      <c r="D10">
        <v>387.53431293395772</v>
      </c>
      <c r="E10">
        <v>331.01889229775554</v>
      </c>
      <c r="F10">
        <v>322.94526077829806</v>
      </c>
    </row>
    <row r="11" spans="1:6" x14ac:dyDescent="0.3">
      <c r="A11" s="1" t="s">
        <v>7</v>
      </c>
      <c r="B11">
        <v>214.6888742684996</v>
      </c>
      <c r="C11">
        <v>301.25696873160427</v>
      </c>
      <c r="D11">
        <v>394.75051075175736</v>
      </c>
      <c r="E11">
        <v>367.04872052356387</v>
      </c>
      <c r="F11">
        <v>294.33152117455592</v>
      </c>
    </row>
    <row r="12" spans="1:6" x14ac:dyDescent="0.3">
      <c r="A12" s="1" t="s">
        <v>102</v>
      </c>
      <c r="B12">
        <v>281.15706947823736</v>
      </c>
      <c r="C12">
        <v>464.99053798323871</v>
      </c>
      <c r="D12">
        <v>616.38280616382804</v>
      </c>
      <c r="E12">
        <v>567.72100567721009</v>
      </c>
      <c r="F12">
        <v>421.73560421735601</v>
      </c>
    </row>
    <row r="13" spans="1:6" x14ac:dyDescent="0.3">
      <c r="A13" s="1" t="s">
        <v>9</v>
      </c>
      <c r="B13">
        <v>520.89337930889917</v>
      </c>
      <c r="C13">
        <v>638.27780281513003</v>
      </c>
      <c r="D13">
        <v>800.72946034607446</v>
      </c>
      <c r="E13">
        <v>768.23912883988555</v>
      </c>
      <c r="F13">
        <v>877.23895066709986</v>
      </c>
    </row>
    <row r="14" spans="1:6" x14ac:dyDescent="0.3">
      <c r="A14" s="1" t="s">
        <v>10</v>
      </c>
      <c r="B14">
        <v>279.80377771064406</v>
      </c>
      <c r="C14">
        <v>340.94342065512922</v>
      </c>
      <c r="D14">
        <v>409.99525268654781</v>
      </c>
      <c r="E14">
        <v>466.09986621207543</v>
      </c>
      <c r="F14">
        <v>433.01253003035401</v>
      </c>
    </row>
    <row r="15" spans="1:6" x14ac:dyDescent="0.3">
      <c r="A15" s="1" t="s">
        <v>11</v>
      </c>
      <c r="B15">
        <v>173.27879752573998</v>
      </c>
      <c r="C15">
        <v>225.66541073119623</v>
      </c>
      <c r="D15">
        <v>276.03715419798112</v>
      </c>
      <c r="E15">
        <v>304.24533053938063</v>
      </c>
      <c r="F15">
        <v>233.72488968588183</v>
      </c>
    </row>
    <row r="16" spans="1:6" x14ac:dyDescent="0.3">
      <c r="A16" s="1" t="s">
        <v>42</v>
      </c>
      <c r="B16">
        <v>34.602076124567475</v>
      </c>
      <c r="C16">
        <v>23.068050749711649</v>
      </c>
      <c r="D16">
        <v>57.670126874279127</v>
      </c>
      <c r="E16">
        <v>80.738177623990779</v>
      </c>
      <c r="F16">
        <v>92.272202998846595</v>
      </c>
    </row>
    <row r="17" spans="1:6" x14ac:dyDescent="0.3">
      <c r="A17" s="1" t="s">
        <v>12</v>
      </c>
      <c r="B17">
        <v>151.79113539769278</v>
      </c>
      <c r="C17">
        <v>75.895567698846392</v>
      </c>
      <c r="D17">
        <v>30.358227079538558</v>
      </c>
      <c r="E17">
        <v>45.537340619307834</v>
      </c>
      <c r="F17">
        <v>75.895567698846392</v>
      </c>
    </row>
    <row r="18" spans="1:6" x14ac:dyDescent="0.3">
      <c r="A18" s="1" t="s">
        <v>13</v>
      </c>
      <c r="B18">
        <v>267.92968142296593</v>
      </c>
      <c r="C18">
        <v>497.83063386976892</v>
      </c>
      <c r="D18">
        <v>494.37347669011774</v>
      </c>
      <c r="E18">
        <v>549.68799156453656</v>
      </c>
      <c r="F18">
        <v>615.37397797790879</v>
      </c>
    </row>
    <row r="19" spans="1:6" x14ac:dyDescent="0.3">
      <c r="A19" s="1" t="s">
        <v>14</v>
      </c>
      <c r="B19">
        <v>57.313159101329667</v>
      </c>
      <c r="C19">
        <v>68.7757909215956</v>
      </c>
      <c r="D19">
        <v>137.5515818431912</v>
      </c>
      <c r="E19">
        <v>91.701054562127467</v>
      </c>
      <c r="F19">
        <v>103.16368638239339</v>
      </c>
    </row>
    <row r="20" spans="1:6" x14ac:dyDescent="0.3">
      <c r="A20" s="1" t="s">
        <v>15</v>
      </c>
      <c r="B20">
        <v>320.33260065770418</v>
      </c>
      <c r="C20">
        <v>415.75082213021176</v>
      </c>
      <c r="D20">
        <v>497.53786910664689</v>
      </c>
      <c r="E20">
        <v>574.21322564705474</v>
      </c>
      <c r="F20">
        <v>604.8833682632179</v>
      </c>
    </row>
    <row r="21" spans="1:6" x14ac:dyDescent="0.3">
      <c r="A21" s="1" t="s">
        <v>16</v>
      </c>
      <c r="B21">
        <v>197.08654670094259</v>
      </c>
      <c r="C21">
        <v>265.63838903170523</v>
      </c>
      <c r="D21">
        <v>484.14738646101114</v>
      </c>
      <c r="E21">
        <v>402.74207369323051</v>
      </c>
      <c r="F21">
        <v>299.91431019708654</v>
      </c>
    </row>
    <row r="22" spans="1:6" x14ac:dyDescent="0.3">
      <c r="A22" s="1" t="s">
        <v>43</v>
      </c>
      <c r="B22">
        <v>220.58823529411762</v>
      </c>
      <c r="C22">
        <v>270.58823529411762</v>
      </c>
      <c r="D22">
        <v>473.52941176470586</v>
      </c>
      <c r="E22">
        <v>423.52941176470586</v>
      </c>
      <c r="F22">
        <v>294.11764705882354</v>
      </c>
    </row>
    <row r="23" spans="1:6" x14ac:dyDescent="0.3">
      <c r="A23" s="1" t="s">
        <v>44</v>
      </c>
      <c r="B23">
        <v>517.48582230623811</v>
      </c>
      <c r="C23">
        <v>642.1313799621928</v>
      </c>
      <c r="D23">
        <v>773.86578449905483</v>
      </c>
      <c r="E23">
        <v>697.06994328922497</v>
      </c>
      <c r="F23">
        <v>695.29773156899807</v>
      </c>
    </row>
    <row r="24" spans="1:6" x14ac:dyDescent="0.3">
      <c r="A24" s="1" t="s">
        <v>17</v>
      </c>
      <c r="B24">
        <v>269.20315865039481</v>
      </c>
      <c r="C24">
        <v>269.20315865039481</v>
      </c>
      <c r="D24">
        <v>323.04379038047381</v>
      </c>
      <c r="E24">
        <v>293.13232830820772</v>
      </c>
      <c r="F24">
        <v>293.13232830820772</v>
      </c>
    </row>
    <row r="25" spans="1:6" x14ac:dyDescent="0.3">
      <c r="A25" s="1" t="s">
        <v>45</v>
      </c>
      <c r="B25">
        <v>123.09277760283973</v>
      </c>
      <c r="C25">
        <v>206.10883691638281</v>
      </c>
      <c r="D25">
        <v>249.04817794062922</v>
      </c>
      <c r="E25">
        <v>208.97145965133257</v>
      </c>
      <c r="F25">
        <v>134.54326854263877</v>
      </c>
    </row>
    <row r="26" spans="1:6" x14ac:dyDescent="0.3">
      <c r="A26" s="1" t="s">
        <v>37</v>
      </c>
      <c r="B26">
        <v>99.866844207723034</v>
      </c>
      <c r="C26">
        <v>133.15579227696404</v>
      </c>
      <c r="D26">
        <v>191.41145139813582</v>
      </c>
      <c r="E26">
        <v>216.37816245006658</v>
      </c>
      <c r="F26">
        <v>133.15579227696404</v>
      </c>
    </row>
    <row r="27" spans="1:6" x14ac:dyDescent="0.3">
      <c r="A27" s="1" t="s">
        <v>18</v>
      </c>
      <c r="B27">
        <v>65.611416386451239</v>
      </c>
      <c r="C27">
        <v>139.42425982120889</v>
      </c>
      <c r="D27">
        <v>188.63282211104732</v>
      </c>
      <c r="E27">
        <v>213.23710325596653</v>
      </c>
      <c r="F27">
        <v>237.84138440088577</v>
      </c>
    </row>
    <row r="28" spans="1:6" x14ac:dyDescent="0.3">
      <c r="A28" s="1" t="s">
        <v>19</v>
      </c>
      <c r="B28">
        <v>542.91176847655834</v>
      </c>
      <c r="C28">
        <v>674.73788063744757</v>
      </c>
      <c r="D28">
        <v>851.43503731821647</v>
      </c>
      <c r="E28">
        <v>938.39010495922582</v>
      </c>
      <c r="F28">
        <v>969.32604248535415</v>
      </c>
    </row>
    <row r="29" spans="1:6" x14ac:dyDescent="0.3">
      <c r="A29" s="1" t="s">
        <v>20</v>
      </c>
      <c r="B29">
        <v>268.60775066639326</v>
      </c>
      <c r="C29">
        <v>342.42362107853188</v>
      </c>
      <c r="D29">
        <v>410.0881689563256</v>
      </c>
      <c r="E29">
        <v>449.04654500717652</v>
      </c>
      <c r="F29">
        <v>549.51814640147632</v>
      </c>
    </row>
    <row r="30" spans="1:6" x14ac:dyDescent="0.3">
      <c r="A30" s="1" t="s">
        <v>21</v>
      </c>
      <c r="B30">
        <v>232.3180175529169</v>
      </c>
      <c r="C30">
        <v>361.38358286009299</v>
      </c>
      <c r="D30">
        <v>316.21063500258134</v>
      </c>
      <c r="E30">
        <v>283.94424367578733</v>
      </c>
      <c r="F30">
        <v>264.58440887971091</v>
      </c>
    </row>
    <row r="31" spans="1:6" x14ac:dyDescent="0.3">
      <c r="A31" s="1" t="s">
        <v>46</v>
      </c>
      <c r="B31">
        <v>197.99450724915374</v>
      </c>
      <c r="C31">
        <v>229.92910519256566</v>
      </c>
      <c r="D31">
        <v>197.99450724915374</v>
      </c>
      <c r="E31">
        <v>261.86370313597752</v>
      </c>
      <c r="F31">
        <v>172.44682889442424</v>
      </c>
    </row>
    <row r="32" spans="1:6" x14ac:dyDescent="0.3">
      <c r="A32" s="1" t="s">
        <v>22</v>
      </c>
      <c r="B32">
        <v>139.60481099656357</v>
      </c>
      <c r="C32">
        <v>195.98367697594503</v>
      </c>
      <c r="D32">
        <v>246.99312714776633</v>
      </c>
      <c r="E32">
        <v>238.93900343642613</v>
      </c>
      <c r="F32">
        <v>281.89432989690721</v>
      </c>
    </row>
    <row r="33" spans="1:6" x14ac:dyDescent="0.3">
      <c r="A33" s="1" t="s">
        <v>23</v>
      </c>
      <c r="B33">
        <v>264.0642939150402</v>
      </c>
      <c r="C33">
        <v>258.32376578645238</v>
      </c>
      <c r="D33">
        <v>327.21010332950635</v>
      </c>
      <c r="E33">
        <v>378.87485648679677</v>
      </c>
      <c r="F33">
        <v>292.76693455797937</v>
      </c>
    </row>
    <row r="34" spans="1:6" x14ac:dyDescent="0.3">
      <c r="A34" s="1" t="s">
        <v>24</v>
      </c>
      <c r="B34">
        <v>165.58675305975521</v>
      </c>
      <c r="C34">
        <v>328.77369810415166</v>
      </c>
      <c r="D34">
        <v>412.76697864170865</v>
      </c>
      <c r="E34">
        <v>400.7679385649148</v>
      </c>
      <c r="F34">
        <v>441.56467482601391</v>
      </c>
    </row>
    <row r="35" spans="1:6" x14ac:dyDescent="0.3">
      <c r="A35" s="1" t="s">
        <v>25</v>
      </c>
      <c r="B35">
        <v>68.634179821551129</v>
      </c>
      <c r="C35">
        <v>150.99519560741248</v>
      </c>
      <c r="D35">
        <v>137.26835964310226</v>
      </c>
      <c r="E35">
        <v>82.361015785861355</v>
      </c>
      <c r="F35">
        <v>75.497597803706242</v>
      </c>
    </row>
    <row r="36" spans="1:6" x14ac:dyDescent="0.3">
      <c r="A36" s="1" t="s">
        <v>26</v>
      </c>
      <c r="B36">
        <v>88.449531737773142</v>
      </c>
      <c r="C36">
        <v>52.029136316337144</v>
      </c>
      <c r="D36">
        <v>109.26118626430801</v>
      </c>
      <c r="E36">
        <v>145.68158168574402</v>
      </c>
      <c r="F36">
        <v>109.26118626430801</v>
      </c>
    </row>
    <row r="37" spans="1:6" x14ac:dyDescent="0.3">
      <c r="A37" s="1" t="s">
        <v>47</v>
      </c>
      <c r="B37">
        <v>359.6505478240465</v>
      </c>
      <c r="C37">
        <v>490.06335625710727</v>
      </c>
      <c r="D37">
        <v>643.03893431526501</v>
      </c>
      <c r="E37">
        <v>561.36170827241381</v>
      </c>
      <c r="F37">
        <v>407.93487482175414</v>
      </c>
    </row>
    <row r="38" spans="1:6" x14ac:dyDescent="0.3">
      <c r="A38" s="1" t="s">
        <v>27</v>
      </c>
      <c r="B38">
        <v>110.11194714626538</v>
      </c>
      <c r="C38">
        <v>91.759955955221145</v>
      </c>
      <c r="D38">
        <v>220.22389429253076</v>
      </c>
      <c r="E38">
        <v>110.11194714626538</v>
      </c>
      <c r="F38">
        <v>128.4639383373096</v>
      </c>
    </row>
    <row r="39" spans="1:6" x14ac:dyDescent="0.3">
      <c r="A39" s="1" t="s">
        <v>28</v>
      </c>
      <c r="B39">
        <v>71.053005542134429</v>
      </c>
      <c r="C39">
        <v>85.263606650561314</v>
      </c>
      <c r="D39">
        <v>127.89540997584197</v>
      </c>
      <c r="E39">
        <v>156.31661219269574</v>
      </c>
      <c r="F39">
        <v>0</v>
      </c>
    </row>
    <row r="40" spans="1:6" x14ac:dyDescent="0.3">
      <c r="A40" s="1" t="s">
        <v>29</v>
      </c>
      <c r="B40">
        <v>206.95998773570443</v>
      </c>
      <c r="C40">
        <v>229.95554192856048</v>
      </c>
      <c r="D40">
        <v>321.93775869998467</v>
      </c>
      <c r="E40">
        <v>214.62517246665647</v>
      </c>
      <c r="F40">
        <v>375.5940518166488</v>
      </c>
    </row>
    <row r="41" spans="1:6" x14ac:dyDescent="0.3">
      <c r="A41" s="1" t="s">
        <v>30</v>
      </c>
      <c r="B41">
        <v>274.39024390243901</v>
      </c>
      <c r="C41">
        <v>323.17073170731703</v>
      </c>
      <c r="D41">
        <v>548.78048780487802</v>
      </c>
      <c r="E41">
        <v>487.80487804878049</v>
      </c>
      <c r="F41">
        <v>317.07317073170731</v>
      </c>
    </row>
    <row r="42" spans="1:6" x14ac:dyDescent="0.3">
      <c r="A42" s="1" t="s">
        <v>31</v>
      </c>
      <c r="B42">
        <v>722.14148590702757</v>
      </c>
      <c r="C42">
        <v>908.73208102337765</v>
      </c>
      <c r="D42">
        <v>1123.1318513734143</v>
      </c>
      <c r="E42">
        <v>1007.4097995945242</v>
      </c>
      <c r="F42">
        <v>947.3060982830076</v>
      </c>
    </row>
    <row r="43" spans="1:6" x14ac:dyDescent="0.3">
      <c r="A43" s="1" t="s">
        <v>32</v>
      </c>
      <c r="B43">
        <v>153.70284117373077</v>
      </c>
      <c r="C43">
        <v>249.18490917559384</v>
      </c>
      <c r="D43">
        <v>349.32463903120635</v>
      </c>
      <c r="E43">
        <v>319.04983698183514</v>
      </c>
      <c r="F43">
        <v>281.78854215183975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FC2E-5C44-47E0-B074-63A4EFC5AE9E}">
  <dimension ref="A1:H43"/>
  <sheetViews>
    <sheetView zoomScale="64" workbookViewId="0">
      <selection activeCell="A2" sqref="A2"/>
    </sheetView>
  </sheetViews>
  <sheetFormatPr baseColWidth="10" defaultRowHeight="14.4" x14ac:dyDescent="0.3"/>
  <cols>
    <col min="1" max="1" width="22.44140625" bestFit="1" customWidth="1"/>
  </cols>
  <sheetData>
    <row r="1" spans="1:8" x14ac:dyDescent="0.3">
      <c r="A1" s="6" t="s">
        <v>101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8" x14ac:dyDescent="0.3">
      <c r="A2" s="1" t="s">
        <v>5</v>
      </c>
      <c r="B2">
        <v>0.43842208384646986</v>
      </c>
      <c r="C2">
        <v>0.43842208384646986</v>
      </c>
      <c r="D2">
        <v>0.56994870900041084</v>
      </c>
      <c r="E2">
        <v>0.92068637607758674</v>
      </c>
      <c r="F2">
        <v>0.48226429223111689</v>
      </c>
      <c r="H2">
        <f>MAX(B2:D43)</f>
        <v>8.0736315194574519</v>
      </c>
    </row>
    <row r="3" spans="1:8" x14ac:dyDescent="0.3">
      <c r="A3" s="1" t="s">
        <v>39</v>
      </c>
      <c r="B3">
        <v>0</v>
      </c>
      <c r="C3">
        <v>0</v>
      </c>
      <c r="D3">
        <v>0</v>
      </c>
      <c r="E3">
        <v>0</v>
      </c>
      <c r="F3">
        <v>0</v>
      </c>
    </row>
    <row r="4" spans="1:8" x14ac:dyDescent="0.3">
      <c r="A4" s="1" t="s">
        <v>40</v>
      </c>
      <c r="B4">
        <v>0</v>
      </c>
      <c r="C4">
        <v>4.3710114520500039</v>
      </c>
      <c r="D4">
        <v>0</v>
      </c>
      <c r="E4">
        <v>0</v>
      </c>
      <c r="F4">
        <v>0</v>
      </c>
    </row>
    <row r="5" spans="1:8" x14ac:dyDescent="0.3">
      <c r="A5" s="1" t="s">
        <v>33</v>
      </c>
      <c r="B5">
        <v>5.703530485370444</v>
      </c>
      <c r="C5">
        <v>0</v>
      </c>
      <c r="D5">
        <v>0</v>
      </c>
      <c r="E5">
        <v>0</v>
      </c>
      <c r="F5">
        <v>0</v>
      </c>
    </row>
    <row r="6" spans="1:8" x14ac:dyDescent="0.3">
      <c r="A6" s="1" t="s">
        <v>6</v>
      </c>
      <c r="B6">
        <v>0</v>
      </c>
      <c r="C6">
        <v>0</v>
      </c>
      <c r="D6">
        <v>0</v>
      </c>
      <c r="E6">
        <v>0</v>
      </c>
      <c r="F6">
        <v>0</v>
      </c>
    </row>
    <row r="7" spans="1:8" x14ac:dyDescent="0.3">
      <c r="A7" s="1" t="s">
        <v>41</v>
      </c>
      <c r="B7">
        <v>0</v>
      </c>
      <c r="C7">
        <v>0</v>
      </c>
      <c r="D7">
        <v>0</v>
      </c>
      <c r="E7">
        <v>0</v>
      </c>
      <c r="F7">
        <v>0</v>
      </c>
    </row>
    <row r="8" spans="1:8" x14ac:dyDescent="0.3">
      <c r="A8" s="1" t="s">
        <v>34</v>
      </c>
      <c r="B8">
        <v>1.9002796578229761</v>
      </c>
      <c r="C8">
        <v>2.5337062104306347</v>
      </c>
      <c r="D8">
        <v>2.2169929341268055</v>
      </c>
      <c r="E8">
        <v>2.2169929341268055</v>
      </c>
      <c r="F8">
        <v>0</v>
      </c>
    </row>
    <row r="9" spans="1:8" x14ac:dyDescent="0.3">
      <c r="A9" s="1" t="s">
        <v>35</v>
      </c>
      <c r="B9">
        <v>0</v>
      </c>
      <c r="C9">
        <v>0</v>
      </c>
      <c r="D9">
        <v>0</v>
      </c>
      <c r="E9">
        <v>0</v>
      </c>
      <c r="F9">
        <v>0</v>
      </c>
    </row>
    <row r="10" spans="1:8" x14ac:dyDescent="0.3">
      <c r="A10" s="1" t="s">
        <v>36</v>
      </c>
      <c r="B10">
        <v>0</v>
      </c>
      <c r="C10">
        <v>8.0736315194574519</v>
      </c>
      <c r="D10">
        <v>0</v>
      </c>
      <c r="E10">
        <v>0</v>
      </c>
      <c r="F10">
        <v>8.0736315194574519</v>
      </c>
    </row>
    <row r="11" spans="1:8" x14ac:dyDescent="0.3">
      <c r="A11" s="1" t="s">
        <v>7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8" x14ac:dyDescent="0.3">
      <c r="A12" s="1" t="s">
        <v>102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8" x14ac:dyDescent="0.3">
      <c r="A13" s="1" t="s">
        <v>9</v>
      </c>
      <c r="B13">
        <v>2.0961504197541214</v>
      </c>
      <c r="C13">
        <v>0</v>
      </c>
      <c r="D13">
        <v>0</v>
      </c>
      <c r="E13">
        <v>2.0961504197541214</v>
      </c>
      <c r="F13">
        <v>1.0480752098770607</v>
      </c>
    </row>
    <row r="14" spans="1:8" x14ac:dyDescent="0.3">
      <c r="A14" s="1" t="s">
        <v>10</v>
      </c>
      <c r="B14">
        <v>0</v>
      </c>
      <c r="C14">
        <v>0</v>
      </c>
      <c r="D14">
        <v>0.71928991699394351</v>
      </c>
      <c r="E14">
        <v>0</v>
      </c>
      <c r="F14">
        <v>0.71928991699394351</v>
      </c>
    </row>
    <row r="15" spans="1:8" x14ac:dyDescent="0.3">
      <c r="A15" s="1" t="s">
        <v>11</v>
      </c>
      <c r="B15">
        <v>0</v>
      </c>
      <c r="C15">
        <v>2.0148697386713952</v>
      </c>
      <c r="D15">
        <v>2.0148697386713952</v>
      </c>
      <c r="E15">
        <v>0</v>
      </c>
      <c r="F15">
        <v>0</v>
      </c>
    </row>
    <row r="16" spans="1:8" x14ac:dyDescent="0.3">
      <c r="A16" s="1" t="s">
        <v>42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s="1" t="s">
        <v>12</v>
      </c>
      <c r="B17">
        <v>0</v>
      </c>
      <c r="C17">
        <v>0</v>
      </c>
      <c r="D17">
        <v>0</v>
      </c>
      <c r="E17">
        <v>0</v>
      </c>
      <c r="F17">
        <v>15.179113539769279</v>
      </c>
    </row>
    <row r="18" spans="1:6" x14ac:dyDescent="0.3">
      <c r="A18" s="1" t="s">
        <v>13</v>
      </c>
      <c r="B18">
        <v>0</v>
      </c>
      <c r="C18">
        <v>0</v>
      </c>
      <c r="D18">
        <v>0</v>
      </c>
      <c r="E18">
        <v>0</v>
      </c>
      <c r="F18">
        <v>1.7285785898255865</v>
      </c>
    </row>
    <row r="19" spans="1:6" x14ac:dyDescent="0.3">
      <c r="A19" s="1" t="s">
        <v>14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s="1" t="s">
        <v>15</v>
      </c>
      <c r="B20">
        <v>0</v>
      </c>
      <c r="C20">
        <v>0</v>
      </c>
      <c r="D20">
        <v>1.7038968120090647</v>
      </c>
      <c r="E20">
        <v>0</v>
      </c>
      <c r="F20">
        <v>1.7038968120090647</v>
      </c>
    </row>
    <row r="21" spans="1:6" x14ac:dyDescent="0.3">
      <c r="A21" s="1" t="s">
        <v>16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s="1" t="s">
        <v>43</v>
      </c>
      <c r="B22">
        <v>0</v>
      </c>
      <c r="C22">
        <v>0</v>
      </c>
      <c r="D22">
        <v>0</v>
      </c>
      <c r="E22">
        <v>5.8823529411764701</v>
      </c>
      <c r="F22">
        <v>5.8823529411764701</v>
      </c>
    </row>
    <row r="23" spans="1:6" x14ac:dyDescent="0.3">
      <c r="A23" s="1" t="s">
        <v>44</v>
      </c>
      <c r="B23">
        <v>0</v>
      </c>
      <c r="C23">
        <v>0</v>
      </c>
      <c r="D23">
        <v>0.59073724007561434</v>
      </c>
      <c r="E23">
        <v>2.9536862003780717</v>
      </c>
      <c r="F23">
        <v>2.9536862003780717</v>
      </c>
    </row>
    <row r="24" spans="1:6" x14ac:dyDescent="0.3">
      <c r="A24" s="1" t="s">
        <v>17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s="1" t="s">
        <v>45</v>
      </c>
      <c r="B25">
        <v>0</v>
      </c>
      <c r="C25">
        <v>0</v>
      </c>
      <c r="D25">
        <v>0</v>
      </c>
      <c r="E25">
        <v>2.862622734949761</v>
      </c>
      <c r="F25">
        <v>0</v>
      </c>
    </row>
    <row r="26" spans="1:6" x14ac:dyDescent="0.3">
      <c r="A26" s="1" t="s">
        <v>37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1" t="s">
        <v>18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s="1" t="s">
        <v>19</v>
      </c>
      <c r="B28">
        <v>0.27870213987502995</v>
      </c>
      <c r="C28">
        <v>2.5083192588752694</v>
      </c>
      <c r="D28">
        <v>0.55740427975005991</v>
      </c>
      <c r="E28">
        <v>0.55740427975005991</v>
      </c>
      <c r="F28">
        <v>0</v>
      </c>
    </row>
    <row r="29" spans="1:6" x14ac:dyDescent="0.3">
      <c r="A29" s="1" t="s">
        <v>20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1" t="s">
        <v>21</v>
      </c>
      <c r="B30">
        <v>0</v>
      </c>
      <c r="C30">
        <v>0</v>
      </c>
      <c r="D30">
        <v>0</v>
      </c>
      <c r="E30">
        <v>6.4532782653588026</v>
      </c>
      <c r="F30">
        <v>6.4532782653588026</v>
      </c>
    </row>
    <row r="31" spans="1:6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1" t="s">
        <v>22</v>
      </c>
      <c r="B32">
        <v>2.684707903780069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1" t="s">
        <v>23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1" t="s">
        <v>24</v>
      </c>
      <c r="B34">
        <v>0</v>
      </c>
      <c r="C34">
        <v>2.3998080153587713</v>
      </c>
      <c r="D34">
        <v>0</v>
      </c>
      <c r="E34">
        <v>0</v>
      </c>
      <c r="F34">
        <v>2.3998080153587713</v>
      </c>
    </row>
    <row r="35" spans="1:6" x14ac:dyDescent="0.3">
      <c r="A35" s="1" t="s">
        <v>25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s="1" t="s">
        <v>26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1" t="s">
        <v>47</v>
      </c>
      <c r="B37">
        <v>0</v>
      </c>
      <c r="C37">
        <v>0</v>
      </c>
      <c r="D37">
        <v>0.45125539250194041</v>
      </c>
      <c r="E37">
        <v>0.45125539250194041</v>
      </c>
      <c r="F37">
        <v>0</v>
      </c>
    </row>
    <row r="38" spans="1:6" x14ac:dyDescent="0.3">
      <c r="A38" s="1" t="s">
        <v>27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1" t="s">
        <v>28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1" t="s">
        <v>29</v>
      </c>
      <c r="B40">
        <v>7.6651847309520162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1" t="s">
        <v>30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1" t="s">
        <v>31</v>
      </c>
      <c r="B42">
        <v>0.89707016882860569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1" t="s">
        <v>32</v>
      </c>
      <c r="B43">
        <v>0</v>
      </c>
      <c r="C43">
        <v>0</v>
      </c>
      <c r="D43">
        <v>0</v>
      </c>
      <c r="E43">
        <v>0</v>
      </c>
      <c r="F43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F203-2B06-4122-BBD2-8DE2CB9CB61E}">
  <dimension ref="A1:AW43"/>
  <sheetViews>
    <sheetView zoomScale="78" workbookViewId="0">
      <selection activeCell="A2" sqref="A2:A43"/>
    </sheetView>
  </sheetViews>
  <sheetFormatPr baseColWidth="10" defaultRowHeight="14.4" x14ac:dyDescent="0.3"/>
  <sheetData>
    <row r="1" spans="1:49" ht="50.4" x14ac:dyDescent="0.3">
      <c r="B1" s="4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4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4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4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4" t="s">
        <v>73</v>
      </c>
      <c r="AA1" s="5" t="s">
        <v>74</v>
      </c>
      <c r="AB1" s="5" t="s">
        <v>75</v>
      </c>
      <c r="AC1" s="5" t="s">
        <v>76</v>
      </c>
      <c r="AD1" s="5" t="s">
        <v>77</v>
      </c>
      <c r="AE1" s="5" t="s">
        <v>78</v>
      </c>
      <c r="AF1" s="4" t="s">
        <v>79</v>
      </c>
      <c r="AG1" s="5" t="s">
        <v>80</v>
      </c>
      <c r="AH1" s="5" t="s">
        <v>81</v>
      </c>
      <c r="AI1" s="5" t="s">
        <v>82</v>
      </c>
      <c r="AJ1" s="5" t="s">
        <v>83</v>
      </c>
      <c r="AK1" s="5" t="s">
        <v>84</v>
      </c>
      <c r="AL1" s="4" t="s">
        <v>85</v>
      </c>
      <c r="AM1" s="5" t="s">
        <v>86</v>
      </c>
      <c r="AN1" s="5" t="s">
        <v>87</v>
      </c>
      <c r="AO1" s="5" t="s">
        <v>88</v>
      </c>
      <c r="AP1" s="5" t="s">
        <v>89</v>
      </c>
      <c r="AQ1" s="5" t="s">
        <v>90</v>
      </c>
      <c r="AR1" s="4" t="s">
        <v>91</v>
      </c>
      <c r="AS1" s="5" t="s">
        <v>92</v>
      </c>
      <c r="AT1" s="5" t="s">
        <v>93</v>
      </c>
      <c r="AU1" s="5" t="s">
        <v>94</v>
      </c>
      <c r="AV1" s="5" t="s">
        <v>95</v>
      </c>
      <c r="AW1" s="5" t="s">
        <v>96</v>
      </c>
    </row>
    <row r="2" spans="1:49" x14ac:dyDescent="0.3">
      <c r="A2" s="1" t="s">
        <v>5</v>
      </c>
      <c r="B2">
        <f>AVERAGE(C2:G2)</f>
        <v>45.674812695125233</v>
      </c>
      <c r="C2">
        <v>46.73579413803369</v>
      </c>
      <c r="D2">
        <v>52.698334478345679</v>
      </c>
      <c r="E2">
        <v>43.228417467261927</v>
      </c>
      <c r="F2">
        <v>44.061419426570225</v>
      </c>
      <c r="G2">
        <v>41.650097965414638</v>
      </c>
      <c r="H2">
        <f>AVERAGE(I2:M2)</f>
        <v>201.26204181056045</v>
      </c>
      <c r="I2">
        <v>206.27759044976409</v>
      </c>
      <c r="J2">
        <v>214.16918795900054</v>
      </c>
      <c r="K2">
        <v>181.24368946213065</v>
      </c>
      <c r="L2">
        <v>201.93721181968402</v>
      </c>
      <c r="M2">
        <v>202.68252936222302</v>
      </c>
      <c r="N2">
        <f>AVERAGE(O2:S2)</f>
        <v>246.70887502208552</v>
      </c>
      <c r="O2">
        <v>225.48047772223947</v>
      </c>
      <c r="P2">
        <v>255.468548257338</v>
      </c>
      <c r="Q2">
        <v>236.79176748547837</v>
      </c>
      <c r="R2">
        <v>231.09228039547426</v>
      </c>
      <c r="S2">
        <v>284.71130124989753</v>
      </c>
      <c r="T2">
        <f>AVERAGE(U2:Y2)</f>
        <v>53.733010596223359</v>
      </c>
      <c r="U2">
        <v>60.151509903735665</v>
      </c>
      <c r="V2">
        <v>63.395833324199543</v>
      </c>
      <c r="W2">
        <v>44.587525927185986</v>
      </c>
      <c r="X2">
        <v>51.032330559729097</v>
      </c>
      <c r="Y2">
        <v>49.497853266266446</v>
      </c>
      <c r="Z2">
        <f>AVERAGE(AA2:AE2)</f>
        <v>21.51775587518474</v>
      </c>
      <c r="AA2">
        <v>26.086113988864959</v>
      </c>
      <c r="AB2">
        <v>24.858532154094842</v>
      </c>
      <c r="AC2">
        <v>15.388615143011092</v>
      </c>
      <c r="AD2">
        <v>20.518153524014789</v>
      </c>
      <c r="AE2">
        <v>20.737364565938027</v>
      </c>
      <c r="AF2">
        <f>AVERAGE(AG2:AK2)</f>
        <v>148.69523395736871</v>
      </c>
      <c r="AG2">
        <v>108.99173004423241</v>
      </c>
      <c r="AH2">
        <v>183.9180641735941</v>
      </c>
      <c r="AI2">
        <v>203.64705794668527</v>
      </c>
      <c r="AJ2">
        <v>142.44333504171806</v>
      </c>
      <c r="AK2">
        <v>104.47598258061377</v>
      </c>
      <c r="AL2">
        <f>AVERAGE(AM2:AQ2)</f>
        <v>1281.1570134161543</v>
      </c>
      <c r="AM2">
        <v>1010.7821143080363</v>
      </c>
      <c r="AN2">
        <v>1267.5659288169138</v>
      </c>
      <c r="AO2">
        <v>1451.8785728659695</v>
      </c>
      <c r="AP2">
        <v>1375.1108659844529</v>
      </c>
      <c r="AQ2">
        <v>1300.447585105399</v>
      </c>
      <c r="AR2">
        <f>AVERAGE(AS2:AW2)</f>
        <v>0.56994870900041084</v>
      </c>
      <c r="AS2">
        <v>0.43842208384646986</v>
      </c>
      <c r="AT2">
        <v>0.43842208384646986</v>
      </c>
      <c r="AU2">
        <v>0.56994870900041084</v>
      </c>
      <c r="AV2">
        <v>0.92068637607758674</v>
      </c>
      <c r="AW2">
        <v>0.48226429223111689</v>
      </c>
    </row>
    <row r="3" spans="1:49" x14ac:dyDescent="0.3">
      <c r="A3" s="1" t="s">
        <v>39</v>
      </c>
      <c r="B3">
        <f t="shared" ref="B3:B43" si="0">AVERAGE(C3:G3)</f>
        <v>105.8051774000141</v>
      </c>
      <c r="C3">
        <v>77.590463426677005</v>
      </c>
      <c r="D3">
        <v>91.697820413345553</v>
      </c>
      <c r="E3">
        <v>105.8051774000141</v>
      </c>
      <c r="F3">
        <v>134.01989137335119</v>
      </c>
      <c r="G3">
        <v>119.91253438668265</v>
      </c>
      <c r="H3">
        <f t="shared" ref="H3:H43" si="1">AVERAGE(I3:M3)</f>
        <v>193.27079071735912</v>
      </c>
      <c r="I3">
        <v>183.39564082669111</v>
      </c>
      <c r="J3">
        <v>162.23460534668828</v>
      </c>
      <c r="K3">
        <v>225.71771178669675</v>
      </c>
      <c r="L3">
        <v>176.34196233335683</v>
      </c>
      <c r="M3">
        <v>218.66403329336248</v>
      </c>
      <c r="N3">
        <f t="shared" ref="N3:N43" si="2">AVERAGE(O3:S3)</f>
        <v>187.62784792269167</v>
      </c>
      <c r="O3">
        <v>204.55667630669393</v>
      </c>
      <c r="P3">
        <v>183.39564082669111</v>
      </c>
      <c r="Q3">
        <v>119.91253438668265</v>
      </c>
      <c r="R3">
        <v>141.07356986668546</v>
      </c>
      <c r="S3">
        <v>289.20081822670522</v>
      </c>
      <c r="T3">
        <f t="shared" ref="T3:T43" si="3">AVERAGE(U3:Y3)</f>
        <v>83.233406221344424</v>
      </c>
      <c r="U3">
        <v>63.483106440008463</v>
      </c>
      <c r="V3">
        <v>70.53678493334273</v>
      </c>
      <c r="W3">
        <v>35.268392466671365</v>
      </c>
      <c r="X3">
        <v>70.53678493334273</v>
      </c>
      <c r="Y3">
        <v>176.34196233335683</v>
      </c>
      <c r="Z3">
        <f t="shared" ref="Z3:Z43" si="4">AVERAGE(AA3:AE3)</f>
        <v>14.107356986668545</v>
      </c>
      <c r="AA3">
        <v>14.107356986668547</v>
      </c>
      <c r="AB3">
        <v>7.0536784933342735</v>
      </c>
      <c r="AC3">
        <v>28.214713973337094</v>
      </c>
      <c r="AD3">
        <v>21.16103548000282</v>
      </c>
      <c r="AE3">
        <v>0</v>
      </c>
      <c r="AF3">
        <f t="shared" ref="AF3:AF43" si="5">AVERAGE(AG3:AK3)</f>
        <v>139.66283416801861</v>
      </c>
      <c r="AG3">
        <v>303.30817521337377</v>
      </c>
      <c r="AH3">
        <v>162.23460534668828</v>
      </c>
      <c r="AI3">
        <v>112.85885589334838</v>
      </c>
      <c r="AJ3">
        <v>77.590463426677005</v>
      </c>
      <c r="AK3">
        <v>42.32207096000564</v>
      </c>
      <c r="AL3">
        <f t="shared" ref="AL3:AL43" si="6">AVERAGE(AM3:AQ3)</f>
        <v>386.54158143471818</v>
      </c>
      <c r="AM3">
        <v>338.57656768004512</v>
      </c>
      <c r="AN3">
        <v>451.43542357339351</v>
      </c>
      <c r="AO3">
        <v>451.43542357339351</v>
      </c>
      <c r="AP3">
        <v>303.30817521337377</v>
      </c>
      <c r="AQ3">
        <v>387.95231713338507</v>
      </c>
      <c r="AR3">
        <f t="shared" ref="AR3:AR43" si="7">AVERAGE(AS3:AW3)</f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3">
      <c r="A4" s="1" t="s">
        <v>40</v>
      </c>
      <c r="B4">
        <f t="shared" si="0"/>
        <v>55.074744295830058</v>
      </c>
      <c r="C4">
        <v>48.081125972550048</v>
      </c>
      <c r="D4">
        <v>65.565171780750063</v>
      </c>
      <c r="E4">
        <v>39.339103068450036</v>
      </c>
      <c r="F4">
        <v>61.194160328700058</v>
      </c>
      <c r="G4">
        <v>61.194160328700058</v>
      </c>
      <c r="H4">
        <f t="shared" si="1"/>
        <v>112.77209546289012</v>
      </c>
      <c r="I4">
        <v>100.53326339715009</v>
      </c>
      <c r="J4">
        <v>100.53326339715009</v>
      </c>
      <c r="K4">
        <v>170.46944662995017</v>
      </c>
      <c r="L4">
        <v>118.01730920535012</v>
      </c>
      <c r="M4">
        <v>74.307194684850074</v>
      </c>
      <c r="N4">
        <f t="shared" si="2"/>
        <v>209.80854969840021</v>
      </c>
      <c r="O4">
        <v>113.6462977533001</v>
      </c>
      <c r="P4">
        <v>218.55057260250021</v>
      </c>
      <c r="Q4">
        <v>157.35641227380015</v>
      </c>
      <c r="R4">
        <v>310.34181309555032</v>
      </c>
      <c r="S4">
        <v>249.14765276685023</v>
      </c>
      <c r="T4">
        <f t="shared" si="3"/>
        <v>65.565171780750063</v>
      </c>
      <c r="U4">
        <v>61.194160328700058</v>
      </c>
      <c r="V4">
        <v>74.307194684850074</v>
      </c>
      <c r="W4">
        <v>65.565171780750063</v>
      </c>
      <c r="X4">
        <v>87.420229041000084</v>
      </c>
      <c r="Y4">
        <v>39.339103068450036</v>
      </c>
      <c r="Z4">
        <f t="shared" si="4"/>
        <v>20.106652679430017</v>
      </c>
      <c r="AA4">
        <v>39.339103068450036</v>
      </c>
      <c r="AB4">
        <v>4.3710114520500039</v>
      </c>
      <c r="AC4">
        <v>13.113034356150013</v>
      </c>
      <c r="AD4">
        <v>17.484045808200015</v>
      </c>
      <c r="AE4">
        <v>26.226068712300027</v>
      </c>
      <c r="AF4">
        <f t="shared" si="5"/>
        <v>112.77209546289012</v>
      </c>
      <c r="AG4">
        <v>113.6462977533001</v>
      </c>
      <c r="AH4">
        <v>83.049217588950086</v>
      </c>
      <c r="AI4">
        <v>152.98540082175015</v>
      </c>
      <c r="AJ4">
        <v>83.049217588950086</v>
      </c>
      <c r="AK4">
        <v>131.13034356150013</v>
      </c>
      <c r="AL4">
        <f t="shared" si="6"/>
        <v>230.78940466824025</v>
      </c>
      <c r="AM4">
        <v>192.32450389020019</v>
      </c>
      <c r="AN4">
        <v>244.77664131480023</v>
      </c>
      <c r="AO4">
        <v>275.37372147915028</v>
      </c>
      <c r="AP4">
        <v>253.51866421890023</v>
      </c>
      <c r="AQ4">
        <v>187.95349243815019</v>
      </c>
      <c r="AR4">
        <f t="shared" si="7"/>
        <v>0.87420229041000075</v>
      </c>
      <c r="AS4">
        <v>0</v>
      </c>
      <c r="AT4">
        <v>4.3710114520500039</v>
      </c>
      <c r="AU4">
        <v>0</v>
      </c>
      <c r="AV4">
        <v>0</v>
      </c>
      <c r="AW4">
        <v>0</v>
      </c>
    </row>
    <row r="5" spans="1:49" x14ac:dyDescent="0.3">
      <c r="A5" s="1" t="s">
        <v>33</v>
      </c>
      <c r="B5">
        <f t="shared" si="0"/>
        <v>167.68379626989108</v>
      </c>
      <c r="C5">
        <v>74.145896309815768</v>
      </c>
      <c r="D5">
        <v>68.442365824445332</v>
      </c>
      <c r="E5">
        <v>205.32709747333598</v>
      </c>
      <c r="F5">
        <v>245.25181087092909</v>
      </c>
      <c r="G5">
        <v>245.25181087092909</v>
      </c>
      <c r="H5">
        <f t="shared" si="1"/>
        <v>132.32190726059429</v>
      </c>
      <c r="I5">
        <v>85.552957280556654</v>
      </c>
      <c r="J5">
        <v>91.256487765927105</v>
      </c>
      <c r="K5">
        <v>193.92003650259508</v>
      </c>
      <c r="L5">
        <v>131.1812011635202</v>
      </c>
      <c r="M5">
        <v>159.69885359037244</v>
      </c>
      <c r="N5">
        <f t="shared" si="2"/>
        <v>69.583071921519419</v>
      </c>
      <c r="O5">
        <v>28.517652426852219</v>
      </c>
      <c r="P5">
        <v>68.442365824445332</v>
      </c>
      <c r="Q5">
        <v>91.256487765927105</v>
      </c>
      <c r="R5">
        <v>91.256487765927105</v>
      </c>
      <c r="S5">
        <v>68.442365824445332</v>
      </c>
      <c r="T5">
        <f t="shared" si="3"/>
        <v>35.361889009296753</v>
      </c>
      <c r="U5">
        <v>51.331774368333996</v>
      </c>
      <c r="V5">
        <v>22.814121941481776</v>
      </c>
      <c r="W5">
        <v>17.110591456111333</v>
      </c>
      <c r="X5">
        <v>51.331774368333996</v>
      </c>
      <c r="Y5">
        <v>34.221182912222666</v>
      </c>
      <c r="Z5">
        <f t="shared" si="4"/>
        <v>14.829179261963153</v>
      </c>
      <c r="AA5">
        <v>17.110591456111333</v>
      </c>
      <c r="AB5">
        <v>0</v>
      </c>
      <c r="AC5">
        <v>28.517652426852219</v>
      </c>
      <c r="AD5">
        <v>11.407060970740888</v>
      </c>
      <c r="AE5">
        <v>17.110591456111333</v>
      </c>
      <c r="AF5">
        <f t="shared" si="5"/>
        <v>70.723778018593492</v>
      </c>
      <c r="AG5">
        <v>68.442365824445332</v>
      </c>
      <c r="AH5">
        <v>102.66354873666799</v>
      </c>
      <c r="AI5">
        <v>85.552957280556654</v>
      </c>
      <c r="AJ5">
        <v>34.221182912222666</v>
      </c>
      <c r="AK5">
        <v>62.738835339074882</v>
      </c>
      <c r="AL5">
        <f t="shared" si="6"/>
        <v>185.93509382307644</v>
      </c>
      <c r="AM5">
        <v>125.47767067814976</v>
      </c>
      <c r="AN5">
        <v>176.80944504648377</v>
      </c>
      <c r="AO5">
        <v>233.84474990018819</v>
      </c>
      <c r="AP5">
        <v>216.73415844407685</v>
      </c>
      <c r="AQ5">
        <v>176.80944504648377</v>
      </c>
      <c r="AR5">
        <f t="shared" si="7"/>
        <v>1.1407060970740888</v>
      </c>
      <c r="AS5">
        <v>5.703530485370444</v>
      </c>
      <c r="AT5">
        <v>0</v>
      </c>
      <c r="AU5">
        <v>0</v>
      </c>
      <c r="AV5">
        <v>0</v>
      </c>
      <c r="AW5">
        <v>0</v>
      </c>
    </row>
    <row r="6" spans="1:49" x14ac:dyDescent="0.3">
      <c r="A6" s="1" t="s">
        <v>6</v>
      </c>
      <c r="B6">
        <f t="shared" si="0"/>
        <v>45.784051888592138</v>
      </c>
      <c r="C6">
        <v>38.153376573826783</v>
      </c>
      <c r="D6">
        <v>19.076688286913392</v>
      </c>
      <c r="E6">
        <v>0</v>
      </c>
      <c r="F6">
        <v>76.306753147653566</v>
      </c>
      <c r="G6">
        <v>95.383441434566961</v>
      </c>
      <c r="H6">
        <f t="shared" si="1"/>
        <v>118.27546737886303</v>
      </c>
      <c r="I6">
        <v>57.230064860740171</v>
      </c>
      <c r="J6">
        <v>95.383441434566961</v>
      </c>
      <c r="K6">
        <v>152.61350629530713</v>
      </c>
      <c r="L6">
        <v>152.61350629530713</v>
      </c>
      <c r="M6">
        <v>133.53681800839374</v>
      </c>
      <c r="N6">
        <f t="shared" si="2"/>
        <v>141.16749332315911</v>
      </c>
      <c r="O6">
        <v>190.76688286913392</v>
      </c>
      <c r="P6">
        <v>305.22701259061427</v>
      </c>
      <c r="Q6">
        <v>114.46012972148034</v>
      </c>
      <c r="R6">
        <v>19.076688286913392</v>
      </c>
      <c r="S6">
        <v>76.306753147653566</v>
      </c>
      <c r="T6">
        <f t="shared" si="3"/>
        <v>53.414727203357494</v>
      </c>
      <c r="U6">
        <v>38.153376573826783</v>
      </c>
      <c r="V6">
        <v>114.46012972148034</v>
      </c>
      <c r="W6">
        <v>19.076688286913392</v>
      </c>
      <c r="X6">
        <v>57.230064860740171</v>
      </c>
      <c r="Y6">
        <v>38.153376573826783</v>
      </c>
      <c r="Z6">
        <f t="shared" si="4"/>
        <v>11.446012972148035</v>
      </c>
      <c r="AA6">
        <v>19.076688286913392</v>
      </c>
      <c r="AB6">
        <v>0</v>
      </c>
      <c r="AC6">
        <v>0</v>
      </c>
      <c r="AD6">
        <v>19.076688286913392</v>
      </c>
      <c r="AE6">
        <v>19.076688286913392</v>
      </c>
      <c r="AF6">
        <f t="shared" si="5"/>
        <v>19.076688286913388</v>
      </c>
      <c r="AG6">
        <v>19.076688286913392</v>
      </c>
      <c r="AH6">
        <v>0</v>
      </c>
      <c r="AI6">
        <v>38.153376573826783</v>
      </c>
      <c r="AJ6">
        <v>0</v>
      </c>
      <c r="AK6">
        <v>38.153376573826783</v>
      </c>
      <c r="AL6">
        <f t="shared" si="6"/>
        <v>91.568103777184277</v>
      </c>
      <c r="AM6">
        <v>95.383441434566961</v>
      </c>
      <c r="AN6">
        <v>133.53681800839374</v>
      </c>
      <c r="AO6">
        <v>38.153376573826783</v>
      </c>
      <c r="AP6">
        <v>114.46012972148034</v>
      </c>
      <c r="AQ6">
        <v>76.306753147653566</v>
      </c>
      <c r="AR6">
        <f t="shared" si="7"/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3">
      <c r="A7" s="1" t="s">
        <v>41</v>
      </c>
      <c r="B7">
        <f t="shared" si="0"/>
        <v>61.592608886933569</v>
      </c>
      <c r="C7">
        <v>50.279680724027401</v>
      </c>
      <c r="D7">
        <v>37.70976054302055</v>
      </c>
      <c r="E7">
        <v>31.424800452517125</v>
      </c>
      <c r="F7">
        <v>31.424800452517125</v>
      </c>
      <c r="G7">
        <v>157.12400226258563</v>
      </c>
      <c r="H7">
        <f t="shared" si="1"/>
        <v>164.66595437118974</v>
      </c>
      <c r="I7">
        <v>100.5593614480548</v>
      </c>
      <c r="J7">
        <v>157.12400226258563</v>
      </c>
      <c r="K7">
        <v>169.69392244359247</v>
      </c>
      <c r="L7">
        <v>226.2585632581233</v>
      </c>
      <c r="M7">
        <v>169.69392244359247</v>
      </c>
      <c r="N7">
        <f t="shared" si="2"/>
        <v>173.46489849789455</v>
      </c>
      <c r="O7">
        <v>106.84432153855823</v>
      </c>
      <c r="P7">
        <v>119.41424171956508</v>
      </c>
      <c r="Q7">
        <v>182.26384262459933</v>
      </c>
      <c r="R7">
        <v>270.2532838916473</v>
      </c>
      <c r="S7">
        <v>188.54880271510277</v>
      </c>
      <c r="T7">
        <f t="shared" si="3"/>
        <v>56.564640814530819</v>
      </c>
      <c r="U7">
        <v>75.419521086041101</v>
      </c>
      <c r="V7">
        <v>69.134560995537683</v>
      </c>
      <c r="W7">
        <v>43.994720633523976</v>
      </c>
      <c r="X7">
        <v>56.564640814530826</v>
      </c>
      <c r="Y7">
        <v>37.70976054302055</v>
      </c>
      <c r="Z7">
        <f t="shared" si="4"/>
        <v>8.7989441267047948</v>
      </c>
      <c r="AA7">
        <v>6.2849600905034251</v>
      </c>
      <c r="AB7">
        <v>0</v>
      </c>
      <c r="AC7">
        <v>0</v>
      </c>
      <c r="AD7">
        <v>6.2849600905034251</v>
      </c>
      <c r="AE7">
        <v>31.424800452517125</v>
      </c>
      <c r="AF7">
        <f t="shared" si="5"/>
        <v>114.38627364716233</v>
      </c>
      <c r="AG7">
        <v>69.134560995537683</v>
      </c>
      <c r="AH7">
        <v>25.1398403620137</v>
      </c>
      <c r="AI7">
        <v>150.8390421720822</v>
      </c>
      <c r="AJ7">
        <v>207.40368298661303</v>
      </c>
      <c r="AK7">
        <v>119.41424171956508</v>
      </c>
      <c r="AL7">
        <f t="shared" si="6"/>
        <v>118.15724970146441</v>
      </c>
      <c r="AM7">
        <v>56.564640814530826</v>
      </c>
      <c r="AN7">
        <v>87.989441267047951</v>
      </c>
      <c r="AO7">
        <v>188.54880271510277</v>
      </c>
      <c r="AP7">
        <v>138.26912199107537</v>
      </c>
      <c r="AQ7">
        <v>119.41424171956508</v>
      </c>
      <c r="AR7">
        <f t="shared" si="7"/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">
      <c r="A8" s="1" t="s">
        <v>34</v>
      </c>
      <c r="B8">
        <f t="shared" si="0"/>
        <v>39.779187503760966</v>
      </c>
      <c r="C8">
        <v>35.155173669725059</v>
      </c>
      <c r="D8">
        <v>61.125662326639066</v>
      </c>
      <c r="E8">
        <v>34.5217471171174</v>
      </c>
      <c r="F8">
        <v>43.073005577320792</v>
      </c>
      <c r="G8">
        <v>25.020348828002518</v>
      </c>
      <c r="H8">
        <f t="shared" si="1"/>
        <v>100.01805265674932</v>
      </c>
      <c r="I8">
        <v>83.295591667907118</v>
      </c>
      <c r="J8">
        <v>123.20146448218962</v>
      </c>
      <c r="K8">
        <v>102.61510152244071</v>
      </c>
      <c r="L8">
        <v>118.76747861393601</v>
      </c>
      <c r="M8">
        <v>72.210626997273096</v>
      </c>
      <c r="N8">
        <f t="shared" si="2"/>
        <v>79.431689697000394</v>
      </c>
      <c r="O8">
        <v>99.131255483098585</v>
      </c>
      <c r="P8">
        <v>75.377759760311392</v>
      </c>
      <c r="Q8">
        <v>63.025941984462044</v>
      </c>
      <c r="R8">
        <v>73.160766826184584</v>
      </c>
      <c r="S8">
        <v>86.462724430945414</v>
      </c>
      <c r="T8">
        <f t="shared" si="3"/>
        <v>35.281858980246589</v>
      </c>
      <c r="U8">
        <v>38.322306432763355</v>
      </c>
      <c r="V8">
        <v>33.571607288205911</v>
      </c>
      <c r="W8">
        <v>32.938180735598252</v>
      </c>
      <c r="X8">
        <v>36.105313498636548</v>
      </c>
      <c r="Y8">
        <v>35.471886946028889</v>
      </c>
      <c r="Z8">
        <f t="shared" si="4"/>
        <v>57.83184425307924</v>
      </c>
      <c r="AA8">
        <v>31.988040906686766</v>
      </c>
      <c r="AB8">
        <v>76.011186312919051</v>
      </c>
      <c r="AC8">
        <v>81.39531201008414</v>
      </c>
      <c r="AD8">
        <v>50.040697656005037</v>
      </c>
      <c r="AE8">
        <v>49.723984379701207</v>
      </c>
      <c r="AF8">
        <f t="shared" si="5"/>
        <v>152.59245652318498</v>
      </c>
      <c r="AG8">
        <v>66.826501300107992</v>
      </c>
      <c r="AH8">
        <v>161.52377091495296</v>
      </c>
      <c r="AI8">
        <v>250.2034882800252</v>
      </c>
      <c r="AJ8">
        <v>162.79062402016828</v>
      </c>
      <c r="AK8">
        <v>121.61789810067047</v>
      </c>
      <c r="AL8">
        <f t="shared" si="6"/>
        <v>352.6919044919444</v>
      </c>
      <c r="AM8">
        <v>322.73082855360212</v>
      </c>
      <c r="AN8">
        <v>402.54257418216713</v>
      </c>
      <c r="AO8">
        <v>363.58684119679612</v>
      </c>
      <c r="AP8">
        <v>378.47236518307608</v>
      </c>
      <c r="AQ8">
        <v>296.12691334408044</v>
      </c>
      <c r="AR8">
        <f t="shared" si="7"/>
        <v>1.7735943473014444</v>
      </c>
      <c r="AS8">
        <v>1.9002796578229761</v>
      </c>
      <c r="AT8">
        <v>2.5337062104306347</v>
      </c>
      <c r="AU8">
        <v>2.2169929341268055</v>
      </c>
      <c r="AV8">
        <v>2.2169929341268055</v>
      </c>
      <c r="AW8">
        <v>0</v>
      </c>
    </row>
    <row r="9" spans="1:49" x14ac:dyDescent="0.3">
      <c r="A9" s="1" t="s">
        <v>35</v>
      </c>
      <c r="B9">
        <f t="shared" si="0"/>
        <v>58.821727275512401</v>
      </c>
      <c r="C9">
        <v>45.954474433994058</v>
      </c>
      <c r="D9">
        <v>58.209000949725812</v>
      </c>
      <c r="E9">
        <v>68.165803743757849</v>
      </c>
      <c r="F9">
        <v>56.677185135259343</v>
      </c>
      <c r="G9">
        <v>65.102172114824924</v>
      </c>
      <c r="H9">
        <f t="shared" si="1"/>
        <v>263.77868325112593</v>
      </c>
      <c r="I9">
        <v>240.49508287123558</v>
      </c>
      <c r="J9">
        <v>235.13372752060295</v>
      </c>
      <c r="K9">
        <v>251.98370147973409</v>
      </c>
      <c r="L9">
        <v>314.02224196562605</v>
      </c>
      <c r="M9">
        <v>277.25866241843084</v>
      </c>
      <c r="N9">
        <f t="shared" si="2"/>
        <v>291.65773107441566</v>
      </c>
      <c r="O9">
        <v>250.45188566526764</v>
      </c>
      <c r="P9">
        <v>295.64045219202848</v>
      </c>
      <c r="Q9">
        <v>267.30185962439879</v>
      </c>
      <c r="R9">
        <v>308.66088661499344</v>
      </c>
      <c r="S9">
        <v>336.23357127538986</v>
      </c>
      <c r="T9">
        <f t="shared" si="3"/>
        <v>54.68582457645293</v>
      </c>
      <c r="U9">
        <v>52.84764559909317</v>
      </c>
      <c r="V9">
        <v>54.379461413559639</v>
      </c>
      <c r="W9">
        <v>45.188566526760823</v>
      </c>
      <c r="X9">
        <v>56.677185135259343</v>
      </c>
      <c r="Y9">
        <v>64.336264207591682</v>
      </c>
      <c r="Z9">
        <f t="shared" si="4"/>
        <v>20.679513495297329</v>
      </c>
      <c r="AA9">
        <v>22.211329309763794</v>
      </c>
      <c r="AB9">
        <v>11.488618608498514</v>
      </c>
      <c r="AC9">
        <v>19.913605588064094</v>
      </c>
      <c r="AD9">
        <v>16.849973959131155</v>
      </c>
      <c r="AE9">
        <v>32.934040011029076</v>
      </c>
      <c r="AF9">
        <f t="shared" si="5"/>
        <v>105.69529119818635</v>
      </c>
      <c r="AG9">
        <v>99.568027940320462</v>
      </c>
      <c r="AH9">
        <v>114.88618608498516</v>
      </c>
      <c r="AI9">
        <v>101.09984375478693</v>
      </c>
      <c r="AJ9">
        <v>98.802120033087235</v>
      </c>
      <c r="AK9">
        <v>114.12027817775191</v>
      </c>
      <c r="AL9">
        <f t="shared" si="6"/>
        <v>506.87785300695452</v>
      </c>
      <c r="AM9">
        <v>328.5744922030575</v>
      </c>
      <c r="AN9">
        <v>431.20615177231093</v>
      </c>
      <c r="AO9">
        <v>628.0444839312521</v>
      </c>
      <c r="AP9">
        <v>603.53543089978859</v>
      </c>
      <c r="AQ9">
        <v>543.02870622836315</v>
      </c>
      <c r="AR9">
        <f t="shared" si="7"/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s="1" t="s">
        <v>36</v>
      </c>
      <c r="B10">
        <f t="shared" si="0"/>
        <v>59.74487324398514</v>
      </c>
      <c r="C10">
        <v>64.589052155659616</v>
      </c>
      <c r="D10">
        <v>44.404973357015983</v>
      </c>
      <c r="E10">
        <v>48.441789116744715</v>
      </c>
      <c r="F10">
        <v>92.846762473760705</v>
      </c>
      <c r="G10">
        <v>48.441789116744715</v>
      </c>
      <c r="H10">
        <f t="shared" si="1"/>
        <v>191.34506701114159</v>
      </c>
      <c r="I10">
        <v>193.76715646697886</v>
      </c>
      <c r="J10">
        <v>129.17810431131923</v>
      </c>
      <c r="K10">
        <v>278.54028742128207</v>
      </c>
      <c r="L10">
        <v>169.54626190860648</v>
      </c>
      <c r="M10">
        <v>185.69352494752141</v>
      </c>
      <c r="N10">
        <f t="shared" si="2"/>
        <v>141.28855159050542</v>
      </c>
      <c r="O10">
        <v>92.846762473760705</v>
      </c>
      <c r="P10">
        <v>149.36218310996287</v>
      </c>
      <c r="Q10">
        <v>121.10447279186178</v>
      </c>
      <c r="R10">
        <v>141.28855159050542</v>
      </c>
      <c r="S10">
        <v>201.84078798643631</v>
      </c>
      <c r="T10">
        <f t="shared" si="3"/>
        <v>56.515420636202158</v>
      </c>
      <c r="U10">
        <v>56.515420636202165</v>
      </c>
      <c r="V10">
        <v>44.404973357015983</v>
      </c>
      <c r="W10">
        <v>52.47860487647344</v>
      </c>
      <c r="X10">
        <v>68.625867915388341</v>
      </c>
      <c r="Y10">
        <v>60.55223639593089</v>
      </c>
      <c r="Z10">
        <f t="shared" si="4"/>
        <v>25.028257710318098</v>
      </c>
      <c r="AA10">
        <v>32.294526077829808</v>
      </c>
      <c r="AB10">
        <v>8.0736315194574519</v>
      </c>
      <c r="AC10">
        <v>20.184078798643629</v>
      </c>
      <c r="AD10">
        <v>24.220894558372358</v>
      </c>
      <c r="AE10">
        <v>40.368157597287258</v>
      </c>
      <c r="AF10">
        <f t="shared" si="5"/>
        <v>196.99660907476181</v>
      </c>
      <c r="AG10">
        <v>149.36218310996287</v>
      </c>
      <c r="AH10">
        <v>153.39899886969158</v>
      </c>
      <c r="AI10">
        <v>262.39302438236717</v>
      </c>
      <c r="AJ10">
        <v>234.13531406426611</v>
      </c>
      <c r="AK10">
        <v>185.69352494752141</v>
      </c>
      <c r="AL10">
        <f t="shared" si="6"/>
        <v>310.83481349911187</v>
      </c>
      <c r="AM10">
        <v>177.61989342806393</v>
      </c>
      <c r="AN10">
        <v>335.05570805748425</v>
      </c>
      <c r="AO10">
        <v>387.53431293395772</v>
      </c>
      <c r="AP10">
        <v>331.01889229775554</v>
      </c>
      <c r="AQ10">
        <v>322.94526077829806</v>
      </c>
      <c r="AR10">
        <f t="shared" si="7"/>
        <v>3.2294526077829806</v>
      </c>
      <c r="AS10">
        <v>0</v>
      </c>
      <c r="AT10">
        <v>8.0736315194574519</v>
      </c>
      <c r="AU10">
        <v>0</v>
      </c>
      <c r="AV10">
        <v>0</v>
      </c>
      <c r="AW10">
        <v>8.0736315194574519</v>
      </c>
    </row>
    <row r="11" spans="1:49" x14ac:dyDescent="0.3">
      <c r="A11" s="1" t="s">
        <v>7</v>
      </c>
      <c r="B11">
        <f t="shared" si="0"/>
        <v>63.021572769140199</v>
      </c>
      <c r="C11">
        <v>58.866304234911183</v>
      </c>
      <c r="D11">
        <v>62.329028013435369</v>
      </c>
      <c r="E11">
        <v>55.403580456386997</v>
      </c>
      <c r="F11">
        <v>83.105370684580492</v>
      </c>
      <c r="G11">
        <v>55.403580456386997</v>
      </c>
      <c r="H11">
        <f t="shared" si="1"/>
        <v>263.16700716783828</v>
      </c>
      <c r="I11">
        <v>221.61432182554799</v>
      </c>
      <c r="J11">
        <v>238.92794071816891</v>
      </c>
      <c r="K11">
        <v>349.73510163094289</v>
      </c>
      <c r="L11">
        <v>252.77883583226566</v>
      </c>
      <c r="M11">
        <v>252.77883583226566</v>
      </c>
      <c r="N11">
        <f t="shared" si="2"/>
        <v>144.74185394231102</v>
      </c>
      <c r="O11">
        <v>197.37525537587868</v>
      </c>
      <c r="P11">
        <v>114.26988469129817</v>
      </c>
      <c r="Q11">
        <v>128.12077980539493</v>
      </c>
      <c r="R11">
        <v>128.12077980539493</v>
      </c>
      <c r="S11">
        <v>155.82257003358842</v>
      </c>
      <c r="T11">
        <f t="shared" si="3"/>
        <v>40.860140586585409</v>
      </c>
      <c r="U11">
        <v>51.940856677862811</v>
      </c>
      <c r="V11">
        <v>76.17992312753212</v>
      </c>
      <c r="W11">
        <v>38.08996156376606</v>
      </c>
      <c r="X11">
        <v>13.850895114096749</v>
      </c>
      <c r="Y11">
        <v>24.239066449669309</v>
      </c>
      <c r="Z11">
        <f t="shared" si="4"/>
        <v>9.0030818241628872</v>
      </c>
      <c r="AA11">
        <v>13.850895114096749</v>
      </c>
      <c r="AB11">
        <v>6.9254475570483747</v>
      </c>
      <c r="AC11">
        <v>10.388171335572562</v>
      </c>
      <c r="AD11">
        <v>6.9254475570483747</v>
      </c>
      <c r="AE11">
        <v>6.9254475570483747</v>
      </c>
      <c r="AF11">
        <f t="shared" si="5"/>
        <v>81.027736417465988</v>
      </c>
      <c r="AG11">
        <v>58.866304234911183</v>
      </c>
      <c r="AH11">
        <v>41.552685342290246</v>
      </c>
      <c r="AI11">
        <v>110.80716091277399</v>
      </c>
      <c r="AJ11">
        <v>96.956265798677236</v>
      </c>
      <c r="AK11">
        <v>96.956265798677236</v>
      </c>
      <c r="AL11">
        <f t="shared" si="6"/>
        <v>314.41531908999622</v>
      </c>
      <c r="AM11">
        <v>214.6888742684996</v>
      </c>
      <c r="AN11">
        <v>301.25696873160427</v>
      </c>
      <c r="AO11">
        <v>394.75051075175736</v>
      </c>
      <c r="AP11">
        <v>367.04872052356387</v>
      </c>
      <c r="AQ11">
        <v>294.33152117455592</v>
      </c>
      <c r="AR11">
        <f t="shared" si="7"/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">
      <c r="A12" s="1" t="s">
        <v>102</v>
      </c>
      <c r="B12">
        <f t="shared" si="0"/>
        <v>32.441200324412002</v>
      </c>
      <c r="C12">
        <v>32.441200324412002</v>
      </c>
      <c r="D12">
        <v>43.254933765882669</v>
      </c>
      <c r="E12">
        <v>27.034333603676668</v>
      </c>
      <c r="F12">
        <v>32.441200324412002</v>
      </c>
      <c r="G12">
        <v>27.034333603676668</v>
      </c>
      <c r="H12">
        <f t="shared" si="1"/>
        <v>232.49526899161933</v>
      </c>
      <c r="I12">
        <v>162.20600162206</v>
      </c>
      <c r="J12">
        <v>216.27466882941334</v>
      </c>
      <c r="K12">
        <v>243.30900243309003</v>
      </c>
      <c r="L12">
        <v>286.56393619897267</v>
      </c>
      <c r="M12">
        <v>254.12273587456068</v>
      </c>
      <c r="N12">
        <f t="shared" si="2"/>
        <v>177.34522844011894</v>
      </c>
      <c r="O12">
        <v>118.95106785617735</v>
      </c>
      <c r="P12">
        <v>189.24033522573669</v>
      </c>
      <c r="Q12">
        <v>162.20600162206</v>
      </c>
      <c r="R12">
        <v>178.42660178426601</v>
      </c>
      <c r="S12">
        <v>237.90213571235469</v>
      </c>
      <c r="T12">
        <f t="shared" si="3"/>
        <v>63.801027304676936</v>
      </c>
      <c r="U12">
        <v>75.696134090294677</v>
      </c>
      <c r="V12">
        <v>59.475533928088673</v>
      </c>
      <c r="W12">
        <v>75.696134090294677</v>
      </c>
      <c r="X12">
        <v>37.848067045147339</v>
      </c>
      <c r="Y12">
        <v>70.28926736955934</v>
      </c>
      <c r="Z12">
        <f t="shared" si="4"/>
        <v>19.464720194647203</v>
      </c>
      <c r="AA12">
        <v>27.034333603676668</v>
      </c>
      <c r="AB12">
        <v>0</v>
      </c>
      <c r="AC12">
        <v>21.627466882941334</v>
      </c>
      <c r="AD12">
        <v>27.034333603676668</v>
      </c>
      <c r="AE12">
        <v>21.627466882941334</v>
      </c>
      <c r="AF12">
        <f t="shared" si="5"/>
        <v>99.486347661530132</v>
      </c>
      <c r="AG12">
        <v>113.54420113544201</v>
      </c>
      <c r="AH12">
        <v>54.068667207353336</v>
      </c>
      <c r="AI12">
        <v>48.661800486618006</v>
      </c>
      <c r="AJ12">
        <v>178.42660178426601</v>
      </c>
      <c r="AK12">
        <v>102.73046769397135</v>
      </c>
      <c r="AL12">
        <f t="shared" si="6"/>
        <v>470.39740470397408</v>
      </c>
      <c r="AM12">
        <v>281.15706947823736</v>
      </c>
      <c r="AN12">
        <v>464.99053798323871</v>
      </c>
      <c r="AO12">
        <v>616.38280616382804</v>
      </c>
      <c r="AP12">
        <v>567.72100567721009</v>
      </c>
      <c r="AQ12">
        <v>421.73560421735601</v>
      </c>
      <c r="AR12">
        <f t="shared" si="7"/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3">
      <c r="A13" s="1" t="s">
        <v>9</v>
      </c>
      <c r="B13">
        <f t="shared" si="0"/>
        <v>64.980663012377775</v>
      </c>
      <c r="C13">
        <v>80.701791160533674</v>
      </c>
      <c r="D13">
        <v>60.788362172869526</v>
      </c>
      <c r="E13">
        <v>68.124888642008955</v>
      </c>
      <c r="F13">
        <v>55.547986123484222</v>
      </c>
      <c r="G13">
        <v>59.740286962992464</v>
      </c>
      <c r="H13">
        <f t="shared" si="1"/>
        <v>248.60343978283882</v>
      </c>
      <c r="I13">
        <v>158.25935669143618</v>
      </c>
      <c r="J13">
        <v>200.18236508651862</v>
      </c>
      <c r="K13">
        <v>310.23026212360998</v>
      </c>
      <c r="L13">
        <v>313.37448775324117</v>
      </c>
      <c r="M13">
        <v>260.97072725938813</v>
      </c>
      <c r="N13">
        <f t="shared" si="2"/>
        <v>281.30338633100308</v>
      </c>
      <c r="O13">
        <v>253.63420079024871</v>
      </c>
      <c r="P13">
        <v>322.80716464213469</v>
      </c>
      <c r="Q13">
        <v>278.78800582729815</v>
      </c>
      <c r="R13">
        <v>274.59570498778993</v>
      </c>
      <c r="S13">
        <v>276.69185540754404</v>
      </c>
      <c r="T13">
        <f t="shared" si="3"/>
        <v>65.399893096328597</v>
      </c>
      <c r="U13">
        <v>48.211459654344793</v>
      </c>
      <c r="V13">
        <v>77.557565530902494</v>
      </c>
      <c r="W13">
        <v>59.740286962992464</v>
      </c>
      <c r="X13">
        <v>62.884512592623643</v>
      </c>
      <c r="Y13">
        <v>78.605640740779549</v>
      </c>
      <c r="Z13">
        <f t="shared" si="4"/>
        <v>16.140358232106735</v>
      </c>
      <c r="AA13">
        <v>14.67305293827885</v>
      </c>
      <c r="AB13">
        <v>13.62497772840179</v>
      </c>
      <c r="AC13">
        <v>17.817278567910034</v>
      </c>
      <c r="AD13">
        <v>15.721128148155911</v>
      </c>
      <c r="AE13">
        <v>18.865353777787092</v>
      </c>
      <c r="AF13">
        <f t="shared" si="5"/>
        <v>151.13244526427218</v>
      </c>
      <c r="AG13">
        <v>113.19212266672255</v>
      </c>
      <c r="AH13">
        <v>164.54780795069854</v>
      </c>
      <c r="AI13">
        <v>136.24977728401791</v>
      </c>
      <c r="AJ13">
        <v>163.49973274082149</v>
      </c>
      <c r="AK13">
        <v>178.17278567910031</v>
      </c>
      <c r="AL13">
        <f t="shared" si="6"/>
        <v>721.07574439541781</v>
      </c>
      <c r="AM13">
        <v>520.89337930889917</v>
      </c>
      <c r="AN13">
        <v>638.27780281513003</v>
      </c>
      <c r="AO13">
        <v>800.72946034607446</v>
      </c>
      <c r="AP13">
        <v>768.23912883988555</v>
      </c>
      <c r="AQ13">
        <v>877.23895066709986</v>
      </c>
      <c r="AR13">
        <f t="shared" si="7"/>
        <v>1.0480752098770607</v>
      </c>
      <c r="AS13">
        <v>2.0961504197541214</v>
      </c>
      <c r="AT13">
        <v>0</v>
      </c>
      <c r="AU13">
        <v>0</v>
      </c>
      <c r="AV13">
        <v>2.0961504197541214</v>
      </c>
      <c r="AW13">
        <v>1.0480752098770607</v>
      </c>
    </row>
    <row r="14" spans="1:49" x14ac:dyDescent="0.3">
      <c r="A14" s="1" t="s">
        <v>10</v>
      </c>
      <c r="B14">
        <f t="shared" si="0"/>
        <v>62.434364795074302</v>
      </c>
      <c r="C14">
        <v>28.052306762763799</v>
      </c>
      <c r="D14">
        <v>50.350294189576047</v>
      </c>
      <c r="E14">
        <v>78.402600952339853</v>
      </c>
      <c r="F14">
        <v>78.402600952339853</v>
      </c>
      <c r="G14">
        <v>76.964021118351965</v>
      </c>
      <c r="H14">
        <f t="shared" si="1"/>
        <v>164.71739099161306</v>
      </c>
      <c r="I14">
        <v>102.13916821313998</v>
      </c>
      <c r="J14">
        <v>169.75242041057066</v>
      </c>
      <c r="K14">
        <v>202.83975659229208</v>
      </c>
      <c r="L14">
        <v>189.89253808640109</v>
      </c>
      <c r="M14">
        <v>158.96307165566154</v>
      </c>
      <c r="N14">
        <f t="shared" si="2"/>
        <v>179.5347632816883</v>
      </c>
      <c r="O14">
        <v>194.20827758836475</v>
      </c>
      <c r="P14">
        <v>209.31336584523757</v>
      </c>
      <c r="Q14">
        <v>150.33159265173421</v>
      </c>
      <c r="R14">
        <v>162.55952124063126</v>
      </c>
      <c r="S14">
        <v>181.26105908247376</v>
      </c>
      <c r="T14">
        <f t="shared" si="3"/>
        <v>51.21344208996878</v>
      </c>
      <c r="U14">
        <v>62.578222778473091</v>
      </c>
      <c r="V14">
        <v>81.279760620315628</v>
      </c>
      <c r="W14">
        <v>36.683785766691123</v>
      </c>
      <c r="X14">
        <v>25.175147094788024</v>
      </c>
      <c r="Y14">
        <v>50.350294189576047</v>
      </c>
      <c r="Z14">
        <f t="shared" si="4"/>
        <v>18.126105908247379</v>
      </c>
      <c r="AA14">
        <v>20.859407592824365</v>
      </c>
      <c r="AB14">
        <v>12.22792858889704</v>
      </c>
      <c r="AC14">
        <v>21.578697509818305</v>
      </c>
      <c r="AD14">
        <v>17.98224792484859</v>
      </c>
      <c r="AE14">
        <v>17.98224792484859</v>
      </c>
      <c r="AF14">
        <f t="shared" si="5"/>
        <v>48.048566455195427</v>
      </c>
      <c r="AG14">
        <v>33.087336181721405</v>
      </c>
      <c r="AH14">
        <v>42.438105102642666</v>
      </c>
      <c r="AI14">
        <v>40.999525268654786</v>
      </c>
      <c r="AJ14">
        <v>59.701063110497316</v>
      </c>
      <c r="AK14">
        <v>64.016802612460978</v>
      </c>
      <c r="AL14">
        <f t="shared" si="6"/>
        <v>385.97096945895009</v>
      </c>
      <c r="AM14">
        <v>279.80377771064406</v>
      </c>
      <c r="AN14">
        <v>340.94342065512922</v>
      </c>
      <c r="AO14">
        <v>409.99525268654781</v>
      </c>
      <c r="AP14">
        <v>466.09986621207543</v>
      </c>
      <c r="AQ14">
        <v>433.01253003035401</v>
      </c>
      <c r="AR14">
        <f t="shared" si="7"/>
        <v>0.28771596679757738</v>
      </c>
      <c r="AS14">
        <v>0</v>
      </c>
      <c r="AT14">
        <v>0</v>
      </c>
      <c r="AU14">
        <v>0.71928991699394351</v>
      </c>
      <c r="AV14">
        <v>0</v>
      </c>
      <c r="AW14">
        <v>0.71928991699394351</v>
      </c>
    </row>
    <row r="15" spans="1:49" x14ac:dyDescent="0.3">
      <c r="A15" s="1" t="s">
        <v>11</v>
      </c>
      <c r="B15">
        <f t="shared" si="0"/>
        <v>39.088472930225059</v>
      </c>
      <c r="C15">
        <v>22.163567125385345</v>
      </c>
      <c r="D15">
        <v>32.237915818742323</v>
      </c>
      <c r="E15">
        <v>50.371743466784878</v>
      </c>
      <c r="F15">
        <v>48.356873728113477</v>
      </c>
      <c r="G15">
        <v>42.312264512099297</v>
      </c>
      <c r="H15">
        <f t="shared" si="1"/>
        <v>186.57693780097117</v>
      </c>
      <c r="I15">
        <v>132.98140275231208</v>
      </c>
      <c r="J15">
        <v>193.42749491245391</v>
      </c>
      <c r="K15">
        <v>171.26392778706858</v>
      </c>
      <c r="L15">
        <v>205.5167133444823</v>
      </c>
      <c r="M15">
        <v>229.69515020853902</v>
      </c>
      <c r="N15">
        <f t="shared" si="2"/>
        <v>141.84682960246622</v>
      </c>
      <c r="O15">
        <v>159.17470935504019</v>
      </c>
      <c r="P15">
        <v>199.47210412846812</v>
      </c>
      <c r="Q15">
        <v>128.95166327496929</v>
      </c>
      <c r="R15">
        <v>110.81783562692672</v>
      </c>
      <c r="S15">
        <v>110.81783562692672</v>
      </c>
      <c r="T15">
        <f t="shared" si="3"/>
        <v>62.057987951078971</v>
      </c>
      <c r="U15">
        <v>78.5799198081844</v>
      </c>
      <c r="V15">
        <v>60.446092160141852</v>
      </c>
      <c r="W15">
        <v>66.490701376156039</v>
      </c>
      <c r="X15">
        <v>52.386613205456271</v>
      </c>
      <c r="Y15">
        <v>52.386613205456271</v>
      </c>
      <c r="Z15">
        <f t="shared" si="4"/>
        <v>27.402228445930973</v>
      </c>
      <c r="AA15">
        <v>6.0446092160141847</v>
      </c>
      <c r="AB15">
        <v>22.163567125385345</v>
      </c>
      <c r="AC15">
        <v>32.237915818742323</v>
      </c>
      <c r="AD15">
        <v>30.223046080070926</v>
      </c>
      <c r="AE15">
        <v>46.342003989442084</v>
      </c>
      <c r="AF15">
        <f t="shared" si="5"/>
        <v>152.72712619129175</v>
      </c>
      <c r="AG15">
        <v>118.87731458161231</v>
      </c>
      <c r="AH15">
        <v>161.18957909371159</v>
      </c>
      <c r="AI15">
        <v>207.53158308315369</v>
      </c>
      <c r="AJ15">
        <v>139.02601196832626</v>
      </c>
      <c r="AK15">
        <v>137.01114222965487</v>
      </c>
      <c r="AL15">
        <f t="shared" si="6"/>
        <v>242.59031653603597</v>
      </c>
      <c r="AM15">
        <v>173.27879752573998</v>
      </c>
      <c r="AN15">
        <v>225.66541073119623</v>
      </c>
      <c r="AO15">
        <v>276.03715419798112</v>
      </c>
      <c r="AP15">
        <v>304.24533053938063</v>
      </c>
      <c r="AQ15">
        <v>233.72488968588183</v>
      </c>
      <c r="AR15">
        <f t="shared" si="7"/>
        <v>0.80594789546855805</v>
      </c>
      <c r="AS15">
        <v>0</v>
      </c>
      <c r="AT15">
        <v>2.0148697386713952</v>
      </c>
      <c r="AU15">
        <v>2.0148697386713952</v>
      </c>
      <c r="AV15">
        <v>0</v>
      </c>
      <c r="AW15">
        <v>0</v>
      </c>
    </row>
    <row r="16" spans="1:49" x14ac:dyDescent="0.3">
      <c r="A16" s="1" t="s">
        <v>42</v>
      </c>
      <c r="B16">
        <f t="shared" si="0"/>
        <v>140.71510957324105</v>
      </c>
      <c r="C16">
        <v>80.738177623990779</v>
      </c>
      <c r="D16">
        <v>46.136101499423297</v>
      </c>
      <c r="E16">
        <v>299.88465974625143</v>
      </c>
      <c r="F16">
        <v>103.80622837370242</v>
      </c>
      <c r="G16">
        <v>173.01038062283737</v>
      </c>
      <c r="H16">
        <f t="shared" si="1"/>
        <v>101.49942329873127</v>
      </c>
      <c r="I16">
        <v>69.20415224913495</v>
      </c>
      <c r="J16">
        <v>69.20415224913495</v>
      </c>
      <c r="K16">
        <v>103.80622837370242</v>
      </c>
      <c r="L16">
        <v>103.80622837370242</v>
      </c>
      <c r="M16">
        <v>161.47635524798156</v>
      </c>
      <c r="N16">
        <f t="shared" si="2"/>
        <v>50.749711649365636</v>
      </c>
      <c r="O16">
        <v>11.534025374855824</v>
      </c>
      <c r="P16">
        <v>57.670126874279127</v>
      </c>
      <c r="Q16">
        <v>57.670126874279127</v>
      </c>
      <c r="R16">
        <v>69.20415224913495</v>
      </c>
      <c r="S16">
        <v>57.670126874279127</v>
      </c>
      <c r="T16">
        <f t="shared" si="3"/>
        <v>57.670126874279127</v>
      </c>
      <c r="U16">
        <v>23.068050749711649</v>
      </c>
      <c r="V16">
        <v>92.272202998846595</v>
      </c>
      <c r="W16">
        <v>11.534025374855824</v>
      </c>
      <c r="X16">
        <v>80.738177623990779</v>
      </c>
      <c r="Y16">
        <v>80.738177623990779</v>
      </c>
      <c r="Z16">
        <f t="shared" si="4"/>
        <v>13.84083044982699</v>
      </c>
      <c r="AA16">
        <v>0</v>
      </c>
      <c r="AB16">
        <v>11.534025374855824</v>
      </c>
      <c r="AC16">
        <v>34.602076124567475</v>
      </c>
      <c r="AD16">
        <v>23.068050749711649</v>
      </c>
      <c r="AE16">
        <v>0</v>
      </c>
      <c r="AF16">
        <f t="shared" si="5"/>
        <v>29.988465974625143</v>
      </c>
      <c r="AG16">
        <v>11.534025374855824</v>
      </c>
      <c r="AH16">
        <v>0</v>
      </c>
      <c r="AI16">
        <v>46.136101499423297</v>
      </c>
      <c r="AJ16">
        <v>80.738177623990779</v>
      </c>
      <c r="AK16">
        <v>11.534025374855824</v>
      </c>
      <c r="AL16">
        <f t="shared" si="6"/>
        <v>57.67012687427912</v>
      </c>
      <c r="AM16">
        <v>34.602076124567475</v>
      </c>
      <c r="AN16">
        <v>23.068050749711649</v>
      </c>
      <c r="AO16">
        <v>57.670126874279127</v>
      </c>
      <c r="AP16">
        <v>80.738177623990779</v>
      </c>
      <c r="AQ16">
        <v>92.272202998846595</v>
      </c>
      <c r="AR16">
        <f t="shared" si="7"/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3">
      <c r="A17" s="1" t="s">
        <v>12</v>
      </c>
      <c r="B17">
        <f t="shared" si="0"/>
        <v>97.146326654523392</v>
      </c>
      <c r="C17">
        <v>151.79113539769278</v>
      </c>
      <c r="D17">
        <v>75.895567698846392</v>
      </c>
      <c r="E17">
        <v>91.074681238615668</v>
      </c>
      <c r="F17">
        <v>106.25379477838496</v>
      </c>
      <c r="G17">
        <v>60.716454159077117</v>
      </c>
      <c r="H17">
        <f t="shared" si="1"/>
        <v>81.967213114754102</v>
      </c>
      <c r="I17">
        <v>75.895567698846392</v>
      </c>
      <c r="J17">
        <v>106.25379477838496</v>
      </c>
      <c r="K17">
        <v>30.358227079538558</v>
      </c>
      <c r="L17">
        <v>91.074681238615668</v>
      </c>
      <c r="M17">
        <v>106.25379477838496</v>
      </c>
      <c r="N17">
        <f t="shared" si="2"/>
        <v>142.68366727383122</v>
      </c>
      <c r="O17">
        <v>182.14936247723134</v>
      </c>
      <c r="P17">
        <v>166.97024893746206</v>
      </c>
      <c r="Q17">
        <v>106.25379477838496</v>
      </c>
      <c r="R17">
        <v>136.61202185792351</v>
      </c>
      <c r="S17">
        <v>121.43290831815423</v>
      </c>
      <c r="T17">
        <f t="shared" si="3"/>
        <v>94.110503946569523</v>
      </c>
      <c r="U17">
        <v>121.43290831815423</v>
      </c>
      <c r="V17">
        <v>136.61202185792351</v>
      </c>
      <c r="W17">
        <v>60.716454159077117</v>
      </c>
      <c r="X17">
        <v>45.537340619307834</v>
      </c>
      <c r="Y17">
        <v>106.25379477838496</v>
      </c>
      <c r="Z17">
        <f t="shared" si="4"/>
        <v>9.1074681238615689</v>
      </c>
      <c r="AA17">
        <v>0</v>
      </c>
      <c r="AB17">
        <v>0</v>
      </c>
      <c r="AC17">
        <v>30.358227079538558</v>
      </c>
      <c r="AD17">
        <v>0</v>
      </c>
      <c r="AE17">
        <v>15.179113539769279</v>
      </c>
      <c r="AF17">
        <f t="shared" si="5"/>
        <v>27.322404371584703</v>
      </c>
      <c r="AG17">
        <v>60.716454159077117</v>
      </c>
      <c r="AH17">
        <v>15.179113539769279</v>
      </c>
      <c r="AI17">
        <v>15.179113539769279</v>
      </c>
      <c r="AJ17">
        <v>45.537340619307834</v>
      </c>
      <c r="AK17">
        <v>0</v>
      </c>
      <c r="AL17">
        <f t="shared" si="6"/>
        <v>75.895567698846392</v>
      </c>
      <c r="AM17">
        <v>151.79113539769278</v>
      </c>
      <c r="AN17">
        <v>75.895567698846392</v>
      </c>
      <c r="AO17">
        <v>30.358227079538558</v>
      </c>
      <c r="AP17">
        <v>45.537340619307834</v>
      </c>
      <c r="AQ17">
        <v>75.895567698846392</v>
      </c>
      <c r="AR17">
        <f t="shared" si="7"/>
        <v>3.035822707953856</v>
      </c>
      <c r="AS17">
        <v>0</v>
      </c>
      <c r="AT17">
        <v>0</v>
      </c>
      <c r="AU17">
        <v>0</v>
      </c>
      <c r="AV17">
        <v>0</v>
      </c>
      <c r="AW17">
        <v>15.179113539769279</v>
      </c>
    </row>
    <row r="18" spans="1:49" x14ac:dyDescent="0.3">
      <c r="A18" s="1" t="s">
        <v>13</v>
      </c>
      <c r="B18">
        <f t="shared" si="0"/>
        <v>50.128779104942012</v>
      </c>
      <c r="C18">
        <v>44.943043335465248</v>
      </c>
      <c r="D18">
        <v>55.314514874418769</v>
      </c>
      <c r="E18">
        <v>48.400200515116424</v>
      </c>
      <c r="F18">
        <v>44.943043335465248</v>
      </c>
      <c r="G18">
        <v>57.043093464244357</v>
      </c>
      <c r="H18">
        <f t="shared" si="1"/>
        <v>180.11788905982613</v>
      </c>
      <c r="I18">
        <v>165.94354462325632</v>
      </c>
      <c r="J18">
        <v>190.14364488081452</v>
      </c>
      <c r="K18">
        <v>197.05795924011687</v>
      </c>
      <c r="L18">
        <v>127.91481564709341</v>
      </c>
      <c r="M18">
        <v>219.52948090784949</v>
      </c>
      <c r="N18">
        <f t="shared" si="2"/>
        <v>138.97771862197717</v>
      </c>
      <c r="O18">
        <v>124.45765846744223</v>
      </c>
      <c r="P18">
        <v>160.75780885377955</v>
      </c>
      <c r="Q18">
        <v>115.8147655183143</v>
      </c>
      <c r="R18">
        <v>153.8434944944772</v>
      </c>
      <c r="S18">
        <v>140.01486577587249</v>
      </c>
      <c r="T18">
        <f t="shared" si="3"/>
        <v>46.671621925290836</v>
      </c>
      <c r="U18">
        <v>32.842993206686145</v>
      </c>
      <c r="V18">
        <v>48.400200515116424</v>
      </c>
      <c r="W18">
        <v>46.671621925290836</v>
      </c>
      <c r="X18">
        <v>44.943043335465248</v>
      </c>
      <c r="Y18">
        <v>60.500250643895527</v>
      </c>
      <c r="Z18">
        <f t="shared" si="4"/>
        <v>16.248638744360512</v>
      </c>
      <c r="AA18">
        <v>8.6428929491279334</v>
      </c>
      <c r="AB18">
        <v>15.557207308430279</v>
      </c>
      <c r="AC18">
        <v>8.6428929491279334</v>
      </c>
      <c r="AD18">
        <v>19.014364488081451</v>
      </c>
      <c r="AE18">
        <v>29.385836027034969</v>
      </c>
      <c r="AF18">
        <f t="shared" si="5"/>
        <v>129.64339423691899</v>
      </c>
      <c r="AG18">
        <v>82.971772311628158</v>
      </c>
      <c r="AH18">
        <v>164.21496603343073</v>
      </c>
      <c r="AI18">
        <v>126.18623705726782</v>
      </c>
      <c r="AJ18">
        <v>122.72907987761664</v>
      </c>
      <c r="AK18">
        <v>152.11491590465161</v>
      </c>
      <c r="AL18">
        <f t="shared" si="6"/>
        <v>485.03915230505953</v>
      </c>
      <c r="AM18">
        <v>267.92968142296593</v>
      </c>
      <c r="AN18">
        <v>497.83063386976892</v>
      </c>
      <c r="AO18">
        <v>494.37347669011774</v>
      </c>
      <c r="AP18">
        <v>549.68799156453656</v>
      </c>
      <c r="AQ18">
        <v>615.37397797790879</v>
      </c>
      <c r="AR18">
        <f t="shared" si="7"/>
        <v>0.3457157179651173</v>
      </c>
      <c r="AS18">
        <v>0</v>
      </c>
      <c r="AT18">
        <v>0</v>
      </c>
      <c r="AU18">
        <v>0</v>
      </c>
      <c r="AV18">
        <v>0</v>
      </c>
      <c r="AW18">
        <v>1.7285785898255865</v>
      </c>
    </row>
    <row r="19" spans="1:49" x14ac:dyDescent="0.3">
      <c r="A19" s="1" t="s">
        <v>14</v>
      </c>
      <c r="B19">
        <f t="shared" si="0"/>
        <v>77.945896377808339</v>
      </c>
      <c r="C19">
        <v>183.40210912425493</v>
      </c>
      <c r="D19">
        <v>57.313159101329667</v>
      </c>
      <c r="E19">
        <v>34.3878954607978</v>
      </c>
      <c r="F19">
        <v>34.3878954607978</v>
      </c>
      <c r="G19">
        <v>80.238422741861527</v>
      </c>
      <c r="H19">
        <f t="shared" si="1"/>
        <v>110.04126547455294</v>
      </c>
      <c r="I19">
        <v>103.16368638239339</v>
      </c>
      <c r="J19">
        <v>45.850527281063734</v>
      </c>
      <c r="K19">
        <v>183.40210912425493</v>
      </c>
      <c r="L19">
        <v>149.01421366345713</v>
      </c>
      <c r="M19">
        <v>68.7757909215956</v>
      </c>
      <c r="N19">
        <f t="shared" si="2"/>
        <v>206.32737276478679</v>
      </c>
      <c r="O19">
        <v>126.08895002292526</v>
      </c>
      <c r="P19">
        <v>183.40210912425493</v>
      </c>
      <c r="Q19">
        <v>103.16368638239339</v>
      </c>
      <c r="R19">
        <v>320.95369096744611</v>
      </c>
      <c r="S19">
        <v>298.02842732691425</v>
      </c>
      <c r="T19">
        <f t="shared" si="3"/>
        <v>59.605685465382862</v>
      </c>
      <c r="U19">
        <v>22.925263640531867</v>
      </c>
      <c r="V19">
        <v>45.850527281063734</v>
      </c>
      <c r="W19">
        <v>57.313159101329667</v>
      </c>
      <c r="X19">
        <v>114.62631820265933</v>
      </c>
      <c r="Y19">
        <v>57.313159101329667</v>
      </c>
      <c r="Z19">
        <f t="shared" si="4"/>
        <v>13.75515818431912</v>
      </c>
      <c r="AA19">
        <v>0</v>
      </c>
      <c r="AB19">
        <v>22.925263640531867</v>
      </c>
      <c r="AC19">
        <v>22.925263640531867</v>
      </c>
      <c r="AD19">
        <v>0</v>
      </c>
      <c r="AE19">
        <v>22.925263640531867</v>
      </c>
      <c r="AF19">
        <f t="shared" si="5"/>
        <v>59.605685465382848</v>
      </c>
      <c r="AG19">
        <v>57.313159101329667</v>
      </c>
      <c r="AH19">
        <v>34.3878954607978</v>
      </c>
      <c r="AI19">
        <v>34.3878954607978</v>
      </c>
      <c r="AJ19">
        <v>57.313159101329667</v>
      </c>
      <c r="AK19">
        <v>114.62631820265933</v>
      </c>
      <c r="AL19">
        <f t="shared" si="6"/>
        <v>91.701054562127467</v>
      </c>
      <c r="AM19">
        <v>57.313159101329667</v>
      </c>
      <c r="AN19">
        <v>68.7757909215956</v>
      </c>
      <c r="AO19">
        <v>137.5515818431912</v>
      </c>
      <c r="AP19">
        <v>91.701054562127467</v>
      </c>
      <c r="AQ19">
        <v>103.16368638239339</v>
      </c>
      <c r="AR19">
        <f t="shared" si="7"/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3">
      <c r="A20" s="1" t="s">
        <v>15</v>
      </c>
      <c r="B20">
        <f t="shared" si="0"/>
        <v>65.77041694354989</v>
      </c>
      <c r="C20">
        <v>52.820801172281001</v>
      </c>
      <c r="D20">
        <v>51.116904360271938</v>
      </c>
      <c r="E20">
        <v>71.563666104380715</v>
      </c>
      <c r="F20">
        <v>64.748078856344463</v>
      </c>
      <c r="G20">
        <v>88.602634224471359</v>
      </c>
      <c r="H20">
        <f t="shared" si="1"/>
        <v>201.05982381706963</v>
      </c>
      <c r="I20">
        <v>187.42864932099712</v>
      </c>
      <c r="J20">
        <v>195.94813338104242</v>
      </c>
      <c r="K20">
        <v>175.50137163693367</v>
      </c>
      <c r="L20">
        <v>204.46761744108775</v>
      </c>
      <c r="M20">
        <v>241.9533473052872</v>
      </c>
      <c r="N20">
        <f t="shared" si="2"/>
        <v>84.172502513247792</v>
      </c>
      <c r="O20">
        <v>66.451975668353526</v>
      </c>
      <c r="P20">
        <v>115.86498321661639</v>
      </c>
      <c r="Q20">
        <v>105.641602344562</v>
      </c>
      <c r="R20">
        <v>52.820801172281001</v>
      </c>
      <c r="S20">
        <v>80.083150164426044</v>
      </c>
      <c r="T20">
        <f t="shared" si="3"/>
        <v>31.010921978564976</v>
      </c>
      <c r="U20">
        <v>23.854555368126906</v>
      </c>
      <c r="V20">
        <v>18.74286493209971</v>
      </c>
      <c r="W20">
        <v>39.189626676208491</v>
      </c>
      <c r="X20">
        <v>25.558452180135969</v>
      </c>
      <c r="Y20">
        <v>47.709110736253812</v>
      </c>
      <c r="Z20">
        <f t="shared" si="4"/>
        <v>21.469099831314214</v>
      </c>
      <c r="AA20">
        <v>6.8155872480362589</v>
      </c>
      <c r="AB20">
        <v>17.038968120090647</v>
      </c>
      <c r="AC20">
        <v>10.223380872054388</v>
      </c>
      <c r="AD20">
        <v>37.485729864199421</v>
      </c>
      <c r="AE20">
        <v>35.781833052190358</v>
      </c>
      <c r="AF20">
        <f t="shared" si="5"/>
        <v>210.9424253267222</v>
      </c>
      <c r="AG20">
        <v>92.010427848489485</v>
      </c>
      <c r="AH20">
        <v>255.5845218013597</v>
      </c>
      <c r="AI20">
        <v>211.28320468912401</v>
      </c>
      <c r="AJ20">
        <v>313.51701340966792</v>
      </c>
      <c r="AK20">
        <v>182.31695888496992</v>
      </c>
      <c r="AL20">
        <f t="shared" si="6"/>
        <v>482.54357716096712</v>
      </c>
      <c r="AM20">
        <v>320.33260065770418</v>
      </c>
      <c r="AN20">
        <v>415.75082213021176</v>
      </c>
      <c r="AO20">
        <v>497.53786910664689</v>
      </c>
      <c r="AP20">
        <v>574.21322564705474</v>
      </c>
      <c r="AQ20">
        <v>604.8833682632179</v>
      </c>
      <c r="AR20">
        <f t="shared" si="7"/>
        <v>0.68155872480362589</v>
      </c>
      <c r="AS20">
        <v>0</v>
      </c>
      <c r="AT20">
        <v>0</v>
      </c>
      <c r="AU20">
        <v>1.7038968120090647</v>
      </c>
      <c r="AV20">
        <v>0</v>
      </c>
      <c r="AW20">
        <v>1.7038968120090647</v>
      </c>
    </row>
    <row r="21" spans="1:49" x14ac:dyDescent="0.3">
      <c r="A21" s="1" t="s">
        <v>16</v>
      </c>
      <c r="B21">
        <f t="shared" si="0"/>
        <v>15.424164524421593</v>
      </c>
      <c r="C21">
        <v>4.284490145672665</v>
      </c>
      <c r="D21">
        <v>21.422450728363327</v>
      </c>
      <c r="E21">
        <v>8.5689802913453299</v>
      </c>
      <c r="F21">
        <v>29.991431019708656</v>
      </c>
      <c r="G21">
        <v>12.853470437017995</v>
      </c>
      <c r="H21">
        <f t="shared" si="1"/>
        <v>260.49700085689801</v>
      </c>
      <c r="I21">
        <v>184.2330762639246</v>
      </c>
      <c r="J21">
        <v>235.64695801199659</v>
      </c>
      <c r="K21">
        <v>304.19880034275923</v>
      </c>
      <c r="L21">
        <v>321.33676092544988</v>
      </c>
      <c r="M21">
        <v>257.0694087403599</v>
      </c>
      <c r="N21">
        <f t="shared" si="2"/>
        <v>158.52613538988862</v>
      </c>
      <c r="O21">
        <v>141.38817480719794</v>
      </c>
      <c r="P21">
        <v>269.92287917737792</v>
      </c>
      <c r="Q21">
        <v>132.81919451585262</v>
      </c>
      <c r="R21">
        <v>124.25021422450729</v>
      </c>
      <c r="S21">
        <v>124.25021422450729</v>
      </c>
      <c r="T21">
        <f t="shared" si="3"/>
        <v>43.701799485861187</v>
      </c>
      <c r="U21">
        <v>21.422450728363327</v>
      </c>
      <c r="V21">
        <v>38.560411311053983</v>
      </c>
      <c r="W21">
        <v>59.982862039417313</v>
      </c>
      <c r="X21">
        <v>29.991431019708656</v>
      </c>
      <c r="Y21">
        <v>68.551842330762639</v>
      </c>
      <c r="Z21">
        <f t="shared" si="4"/>
        <v>41.131105398457578</v>
      </c>
      <c r="AA21">
        <v>17.13796058269066</v>
      </c>
      <c r="AB21">
        <v>25.70694087403599</v>
      </c>
      <c r="AC21">
        <v>42.844901456726653</v>
      </c>
      <c r="AD21">
        <v>85.689802913453306</v>
      </c>
      <c r="AE21">
        <v>34.27592116538132</v>
      </c>
      <c r="AF21">
        <f t="shared" si="5"/>
        <v>108.82604970008569</v>
      </c>
      <c r="AG21">
        <v>55.698371893744643</v>
      </c>
      <c r="AH21">
        <v>72.836332476435302</v>
      </c>
      <c r="AI21">
        <v>107.11225364181662</v>
      </c>
      <c r="AJ21">
        <v>124.25021422450729</v>
      </c>
      <c r="AK21">
        <v>184.2330762639246</v>
      </c>
      <c r="AL21">
        <f t="shared" si="6"/>
        <v>329.90574121679521</v>
      </c>
      <c r="AM21">
        <v>197.08654670094259</v>
      </c>
      <c r="AN21">
        <v>265.63838903170523</v>
      </c>
      <c r="AO21">
        <v>484.14738646101114</v>
      </c>
      <c r="AP21">
        <v>402.74207369323051</v>
      </c>
      <c r="AQ21">
        <v>299.91431019708654</v>
      </c>
      <c r="AR21">
        <f t="shared" si="7"/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3">
      <c r="A22" s="1" t="s">
        <v>43</v>
      </c>
      <c r="B22">
        <f t="shared" si="0"/>
        <v>59.999999999999986</v>
      </c>
      <c r="C22">
        <v>61.764705882352935</v>
      </c>
      <c r="D22">
        <v>61.764705882352935</v>
      </c>
      <c r="E22">
        <v>55.882352941176464</v>
      </c>
      <c r="F22">
        <v>52.941176470588232</v>
      </c>
      <c r="G22">
        <v>67.647058823529406</v>
      </c>
      <c r="H22">
        <f t="shared" si="1"/>
        <v>302.94117647058818</v>
      </c>
      <c r="I22">
        <v>223.52941176470586</v>
      </c>
      <c r="J22">
        <v>244.11764705882351</v>
      </c>
      <c r="K22">
        <v>317.64705882352939</v>
      </c>
      <c r="L22">
        <v>335.29411764705878</v>
      </c>
      <c r="M22">
        <v>394.11764705882348</v>
      </c>
      <c r="N22">
        <f t="shared" si="2"/>
        <v>238.8235294117647</v>
      </c>
      <c r="O22">
        <v>111.76470588235293</v>
      </c>
      <c r="P22">
        <v>214.70588235294116</v>
      </c>
      <c r="Q22">
        <v>258.8235294117647</v>
      </c>
      <c r="R22">
        <v>279.41176470588232</v>
      </c>
      <c r="S22">
        <v>329.41176470588232</v>
      </c>
      <c r="T22">
        <f t="shared" si="3"/>
        <v>67.058823529411754</v>
      </c>
      <c r="U22">
        <v>61.764705882352935</v>
      </c>
      <c r="V22">
        <v>102.94117647058823</v>
      </c>
      <c r="W22">
        <v>52.941176470588232</v>
      </c>
      <c r="X22">
        <v>41.17647058823529</v>
      </c>
      <c r="Y22">
        <v>76.470588235294116</v>
      </c>
      <c r="Z22">
        <f t="shared" si="4"/>
        <v>24.117647058823529</v>
      </c>
      <c r="AA22">
        <v>20.588235294117645</v>
      </c>
      <c r="AB22">
        <v>8.8235294117647047</v>
      </c>
      <c r="AC22">
        <v>20.588235294117645</v>
      </c>
      <c r="AD22">
        <v>11.76470588235294</v>
      </c>
      <c r="AE22">
        <v>58.823529411764703</v>
      </c>
      <c r="AF22">
        <f t="shared" si="5"/>
        <v>111.76470588235293</v>
      </c>
      <c r="AG22">
        <v>79.411764705882348</v>
      </c>
      <c r="AH22">
        <v>141.17647058823528</v>
      </c>
      <c r="AI22">
        <v>55.882352941176464</v>
      </c>
      <c r="AJ22">
        <v>144.11764705882351</v>
      </c>
      <c r="AK22">
        <v>138.23529411764704</v>
      </c>
      <c r="AL22">
        <f t="shared" si="6"/>
        <v>336.47058823529403</v>
      </c>
      <c r="AM22">
        <v>220.58823529411762</v>
      </c>
      <c r="AN22">
        <v>270.58823529411762</v>
      </c>
      <c r="AO22">
        <v>473.52941176470586</v>
      </c>
      <c r="AP22">
        <v>423.52941176470586</v>
      </c>
      <c r="AQ22">
        <v>294.11764705882354</v>
      </c>
      <c r="AR22">
        <f t="shared" si="7"/>
        <v>2.3529411764705879</v>
      </c>
      <c r="AS22">
        <v>0</v>
      </c>
      <c r="AT22">
        <v>0</v>
      </c>
      <c r="AU22">
        <v>0</v>
      </c>
      <c r="AV22">
        <v>5.8823529411764701</v>
      </c>
      <c r="AW22">
        <v>5.8823529411764701</v>
      </c>
    </row>
    <row r="23" spans="1:49" x14ac:dyDescent="0.3">
      <c r="A23" s="1" t="s">
        <v>44</v>
      </c>
      <c r="B23">
        <f t="shared" si="0"/>
        <v>65.689981096408317</v>
      </c>
      <c r="C23">
        <v>60.255198487712661</v>
      </c>
      <c r="D23">
        <v>67.34404536862003</v>
      </c>
      <c r="E23">
        <v>62.618147448015122</v>
      </c>
      <c r="F23">
        <v>67.934782608695656</v>
      </c>
      <c r="G23">
        <v>70.297731568998103</v>
      </c>
      <c r="H23">
        <f t="shared" si="1"/>
        <v>213.61058601134215</v>
      </c>
      <c r="I23">
        <v>170.72306238185254</v>
      </c>
      <c r="J23">
        <v>166.58790170132323</v>
      </c>
      <c r="K23">
        <v>207.93950850661625</v>
      </c>
      <c r="L23">
        <v>265.24102079395084</v>
      </c>
      <c r="M23">
        <v>257.56143667296783</v>
      </c>
      <c r="N23">
        <f t="shared" si="2"/>
        <v>134.09735349716445</v>
      </c>
      <c r="O23">
        <v>126.41776937618147</v>
      </c>
      <c r="P23">
        <v>157.72684310018903</v>
      </c>
      <c r="Q23">
        <v>140.59546313799621</v>
      </c>
      <c r="R23">
        <v>110.46786389413988</v>
      </c>
      <c r="S23">
        <v>135.27882797731567</v>
      </c>
      <c r="T23">
        <f t="shared" si="3"/>
        <v>49.03119092627599</v>
      </c>
      <c r="U23">
        <v>61.436672967863892</v>
      </c>
      <c r="V23">
        <v>51.394139886578451</v>
      </c>
      <c r="W23">
        <v>42.533081285444233</v>
      </c>
      <c r="X23">
        <v>50.803402646502832</v>
      </c>
      <c r="Y23">
        <v>38.988657844990549</v>
      </c>
      <c r="Z23">
        <f t="shared" si="4"/>
        <v>32.726843100189036</v>
      </c>
      <c r="AA23">
        <v>29.536862003780715</v>
      </c>
      <c r="AB23">
        <v>38.988657844990549</v>
      </c>
      <c r="AC23">
        <v>22.448015122873343</v>
      </c>
      <c r="AD23">
        <v>34.262759924385634</v>
      </c>
      <c r="AE23">
        <v>38.39792060491493</v>
      </c>
      <c r="AF23">
        <f t="shared" si="5"/>
        <v>251.8903591682419</v>
      </c>
      <c r="AG23">
        <v>162.45274102079395</v>
      </c>
      <c r="AH23">
        <v>227.43383742911152</v>
      </c>
      <c r="AI23">
        <v>278.82797731568996</v>
      </c>
      <c r="AJ23">
        <v>284.14461247637047</v>
      </c>
      <c r="AK23">
        <v>306.59262759924383</v>
      </c>
      <c r="AL23">
        <f t="shared" si="6"/>
        <v>665.17013232514171</v>
      </c>
      <c r="AM23">
        <v>517.48582230623811</v>
      </c>
      <c r="AN23">
        <v>642.1313799621928</v>
      </c>
      <c r="AO23">
        <v>773.86578449905483</v>
      </c>
      <c r="AP23">
        <v>697.06994328922497</v>
      </c>
      <c r="AQ23">
        <v>695.29773156899807</v>
      </c>
      <c r="AR23">
        <f t="shared" si="7"/>
        <v>1.2996219281663515</v>
      </c>
      <c r="AS23">
        <v>0</v>
      </c>
      <c r="AT23">
        <v>0</v>
      </c>
      <c r="AU23">
        <v>0.59073724007561434</v>
      </c>
      <c r="AV23">
        <v>2.9536862003780717</v>
      </c>
      <c r="AW23">
        <v>2.9536862003780717</v>
      </c>
    </row>
    <row r="24" spans="1:49" x14ac:dyDescent="0.3">
      <c r="A24" s="1" t="s">
        <v>17</v>
      </c>
      <c r="B24">
        <f t="shared" si="0"/>
        <v>20.33979420914094</v>
      </c>
      <c r="C24">
        <v>23.929169657812874</v>
      </c>
      <c r="D24">
        <v>41.876046901172529</v>
      </c>
      <c r="E24">
        <v>11.964584828906437</v>
      </c>
      <c r="F24">
        <v>17.946877243359655</v>
      </c>
      <c r="G24">
        <v>5.9822924144532186</v>
      </c>
      <c r="H24">
        <f t="shared" si="1"/>
        <v>138.78918401531467</v>
      </c>
      <c r="I24">
        <v>119.64584828906436</v>
      </c>
      <c r="J24">
        <v>143.57501794687724</v>
      </c>
      <c r="K24">
        <v>137.59272553242403</v>
      </c>
      <c r="L24">
        <v>143.57501794687724</v>
      </c>
      <c r="M24">
        <v>149.55731036133045</v>
      </c>
      <c r="N24">
        <f t="shared" si="2"/>
        <v>186.64752333094043</v>
      </c>
      <c r="O24">
        <v>83.752093802345058</v>
      </c>
      <c r="P24">
        <v>287.15003589375448</v>
      </c>
      <c r="Q24">
        <v>191.43335726250299</v>
      </c>
      <c r="R24">
        <v>149.55731036133045</v>
      </c>
      <c r="S24">
        <v>221.34481933476908</v>
      </c>
      <c r="T24">
        <f t="shared" si="3"/>
        <v>76.573342905001184</v>
      </c>
      <c r="U24">
        <v>107.68126346015794</v>
      </c>
      <c r="V24">
        <v>59.82292414453218</v>
      </c>
      <c r="W24">
        <v>89.734386216798271</v>
      </c>
      <c r="X24">
        <v>71.787508973438619</v>
      </c>
      <c r="Y24">
        <v>53.840631730078968</v>
      </c>
      <c r="Z24">
        <f t="shared" si="4"/>
        <v>21.536252692031589</v>
      </c>
      <c r="AA24">
        <v>5.9822924144532186</v>
      </c>
      <c r="AB24">
        <v>35.89375448671931</v>
      </c>
      <c r="AC24">
        <v>23.929169657812874</v>
      </c>
      <c r="AD24">
        <v>5.9822924144532186</v>
      </c>
      <c r="AE24">
        <v>35.89375448671931</v>
      </c>
      <c r="AF24">
        <f t="shared" si="5"/>
        <v>112.46709739172051</v>
      </c>
      <c r="AG24">
        <v>47.858339315625749</v>
      </c>
      <c r="AH24">
        <v>167.50418760469012</v>
      </c>
      <c r="AI24">
        <v>71.787508973438619</v>
      </c>
      <c r="AJ24">
        <v>185.45106484804978</v>
      </c>
      <c r="AK24">
        <v>89.734386216798271</v>
      </c>
      <c r="AL24">
        <f t="shared" si="6"/>
        <v>289.54295285953577</v>
      </c>
      <c r="AM24">
        <v>269.20315865039481</v>
      </c>
      <c r="AN24">
        <v>269.20315865039481</v>
      </c>
      <c r="AO24">
        <v>323.04379038047381</v>
      </c>
      <c r="AP24">
        <v>293.13232830820772</v>
      </c>
      <c r="AQ24">
        <v>293.13232830820772</v>
      </c>
      <c r="AR24">
        <f t="shared" si="7"/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3">
      <c r="A25" s="1" t="s">
        <v>45</v>
      </c>
      <c r="B25">
        <f t="shared" si="0"/>
        <v>101.90936936421149</v>
      </c>
      <c r="C25">
        <v>108.77966392809093</v>
      </c>
      <c r="D25">
        <v>97.329172988291887</v>
      </c>
      <c r="E25">
        <v>100.19179572324164</v>
      </c>
      <c r="F25">
        <v>100.19179572324164</v>
      </c>
      <c r="G25">
        <v>103.05441845819141</v>
      </c>
      <c r="H25">
        <f t="shared" si="1"/>
        <v>145.99375948243781</v>
      </c>
      <c r="I25">
        <v>140.2685140125383</v>
      </c>
      <c r="J25">
        <v>160.30687315718663</v>
      </c>
      <c r="K25">
        <v>128.81802307273927</v>
      </c>
      <c r="L25">
        <v>174.61998683193542</v>
      </c>
      <c r="M25">
        <v>125.9554003377895</v>
      </c>
      <c r="N25">
        <f t="shared" si="2"/>
        <v>128.81802307273924</v>
      </c>
      <c r="O25">
        <v>85.878682048492834</v>
      </c>
      <c r="P25">
        <v>77.290813843643548</v>
      </c>
      <c r="Q25">
        <v>77.290813843643548</v>
      </c>
      <c r="R25">
        <v>143.13113674748806</v>
      </c>
      <c r="S25">
        <v>260.49866888042828</v>
      </c>
      <c r="T25">
        <f t="shared" si="3"/>
        <v>57.252454698995223</v>
      </c>
      <c r="U25">
        <v>57.252454698995223</v>
      </c>
      <c r="V25">
        <v>48.664586494145944</v>
      </c>
      <c r="W25">
        <v>48.664586494145944</v>
      </c>
      <c r="X25">
        <v>51.527209229095703</v>
      </c>
      <c r="Y25">
        <v>80.153436578593315</v>
      </c>
      <c r="Z25">
        <f t="shared" si="4"/>
        <v>34.923997366387084</v>
      </c>
      <c r="AA25">
        <v>8.5878682048492827</v>
      </c>
      <c r="AB25">
        <v>17.175736409698565</v>
      </c>
      <c r="AC25">
        <v>34.351472819397131</v>
      </c>
      <c r="AD25">
        <v>20.038359144648329</v>
      </c>
      <c r="AE25">
        <v>94.46655025334212</v>
      </c>
      <c r="AF25">
        <f t="shared" si="5"/>
        <v>88.741304783442587</v>
      </c>
      <c r="AG25">
        <v>105.91704119314116</v>
      </c>
      <c r="AH25">
        <v>71.565568373744028</v>
      </c>
      <c r="AI25">
        <v>83.016059313543067</v>
      </c>
      <c r="AJ25">
        <v>83.016059313543067</v>
      </c>
      <c r="AK25">
        <v>100.19179572324164</v>
      </c>
      <c r="AL25">
        <f t="shared" si="6"/>
        <v>184.35290413076461</v>
      </c>
      <c r="AM25">
        <v>123.09277760283973</v>
      </c>
      <c r="AN25">
        <v>206.10883691638281</v>
      </c>
      <c r="AO25">
        <v>249.04817794062922</v>
      </c>
      <c r="AP25">
        <v>208.97145965133257</v>
      </c>
      <c r="AQ25">
        <v>134.54326854263877</v>
      </c>
      <c r="AR25">
        <f t="shared" si="7"/>
        <v>0.57252454698995225</v>
      </c>
      <c r="AS25">
        <v>0</v>
      </c>
      <c r="AT25">
        <v>0</v>
      </c>
      <c r="AU25">
        <v>0</v>
      </c>
      <c r="AV25">
        <v>2.862622734949761</v>
      </c>
      <c r="AW25">
        <v>0</v>
      </c>
    </row>
    <row r="26" spans="1:49" x14ac:dyDescent="0.3">
      <c r="A26" s="1" t="s">
        <v>37</v>
      </c>
      <c r="B26">
        <f t="shared" si="0"/>
        <v>49.933422103861517</v>
      </c>
      <c r="C26">
        <v>24.966711051930758</v>
      </c>
      <c r="D26">
        <v>74.900133155792275</v>
      </c>
      <c r="E26">
        <v>33.288948069241009</v>
      </c>
      <c r="F26">
        <v>24.966711051930758</v>
      </c>
      <c r="G26">
        <v>91.544607190412776</v>
      </c>
      <c r="H26">
        <f t="shared" si="1"/>
        <v>133.15579227696406</v>
      </c>
      <c r="I26">
        <v>149.80026631158455</v>
      </c>
      <c r="J26">
        <v>108.18908122503329</v>
      </c>
      <c r="K26">
        <v>174.76697736351531</v>
      </c>
      <c r="L26">
        <v>74.900133155792275</v>
      </c>
      <c r="M26">
        <v>158.12250332889479</v>
      </c>
      <c r="N26">
        <f t="shared" si="2"/>
        <v>161.45139813581889</v>
      </c>
      <c r="O26">
        <v>291.27829560585883</v>
      </c>
      <c r="P26">
        <v>149.80026631158455</v>
      </c>
      <c r="Q26">
        <v>83.222370173102533</v>
      </c>
      <c r="R26">
        <v>91.544607190412776</v>
      </c>
      <c r="S26">
        <v>191.41145139813582</v>
      </c>
      <c r="T26">
        <f t="shared" si="3"/>
        <v>49.93342210386151</v>
      </c>
      <c r="U26">
        <v>66.577896138482018</v>
      </c>
      <c r="V26">
        <v>74.900133155792275</v>
      </c>
      <c r="W26">
        <v>33.288948069241009</v>
      </c>
      <c r="X26">
        <v>16.644474034620504</v>
      </c>
      <c r="Y26">
        <v>58.255659121171767</v>
      </c>
      <c r="Z26">
        <f t="shared" si="4"/>
        <v>16.644474034620504</v>
      </c>
      <c r="AA26">
        <v>8.3222370173102522</v>
      </c>
      <c r="AB26">
        <v>16.644474034620504</v>
      </c>
      <c r="AC26">
        <v>16.644474034620504</v>
      </c>
      <c r="AD26">
        <v>16.644474034620504</v>
      </c>
      <c r="AE26">
        <v>24.966711051930758</v>
      </c>
      <c r="AF26">
        <f t="shared" si="5"/>
        <v>69.906790945406129</v>
      </c>
      <c r="AG26">
        <v>33.288948069241009</v>
      </c>
      <c r="AH26">
        <v>24.966711051930758</v>
      </c>
      <c r="AI26">
        <v>66.577896138482018</v>
      </c>
      <c r="AJ26">
        <v>49.933422103861517</v>
      </c>
      <c r="AK26">
        <v>174.76697736351531</v>
      </c>
      <c r="AL26">
        <f t="shared" si="6"/>
        <v>154.7936085219707</v>
      </c>
      <c r="AM26">
        <v>99.866844207723034</v>
      </c>
      <c r="AN26">
        <v>133.15579227696404</v>
      </c>
      <c r="AO26">
        <v>191.41145139813582</v>
      </c>
      <c r="AP26">
        <v>216.37816245006658</v>
      </c>
      <c r="AQ26">
        <v>133.15579227696404</v>
      </c>
      <c r="AR26">
        <f t="shared" si="7"/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3">
      <c r="A27" s="1" t="s">
        <v>18</v>
      </c>
      <c r="B27">
        <f t="shared" si="0"/>
        <v>123.02140572459606</v>
      </c>
      <c r="C27">
        <v>49.208562289838433</v>
      </c>
      <c r="D27">
        <v>106.61855162798327</v>
      </c>
      <c r="E27">
        <v>164.02854096612811</v>
      </c>
      <c r="F27">
        <v>180.43139506274093</v>
      </c>
      <c r="G27">
        <v>114.81997867628968</v>
      </c>
      <c r="H27">
        <f t="shared" si="1"/>
        <v>162.38825555646682</v>
      </c>
      <c r="I27">
        <v>106.61855162798327</v>
      </c>
      <c r="J27">
        <v>147.62568686951531</v>
      </c>
      <c r="K27">
        <v>188.63282211104732</v>
      </c>
      <c r="L27">
        <v>180.43139506274093</v>
      </c>
      <c r="M27">
        <v>188.63282211104732</v>
      </c>
      <c r="N27">
        <f t="shared" si="2"/>
        <v>134.50340359222506</v>
      </c>
      <c r="O27">
        <v>180.43139506274093</v>
      </c>
      <c r="P27">
        <v>106.61855162798327</v>
      </c>
      <c r="Q27">
        <v>32.80570819322562</v>
      </c>
      <c r="R27">
        <v>139.42425982120889</v>
      </c>
      <c r="S27">
        <v>213.23710325596653</v>
      </c>
      <c r="T27">
        <f t="shared" si="3"/>
        <v>50.848847699499721</v>
      </c>
      <c r="U27">
        <v>57.40998933814484</v>
      </c>
      <c r="V27">
        <v>16.40285409661281</v>
      </c>
      <c r="W27">
        <v>41.007135241532026</v>
      </c>
      <c r="X27">
        <v>65.611416386451239</v>
      </c>
      <c r="Y27">
        <v>73.812843434757653</v>
      </c>
      <c r="Z27">
        <f t="shared" si="4"/>
        <v>21.323710325596654</v>
      </c>
      <c r="AA27">
        <v>8.2014270483064049</v>
      </c>
      <c r="AB27">
        <v>0</v>
      </c>
      <c r="AC27">
        <v>41.007135241532026</v>
      </c>
      <c r="AD27">
        <v>24.604281144919216</v>
      </c>
      <c r="AE27">
        <v>32.80570819322562</v>
      </c>
      <c r="AF27">
        <f t="shared" si="5"/>
        <v>170.58968260477323</v>
      </c>
      <c r="AG27">
        <v>82.014270483064053</v>
      </c>
      <c r="AH27">
        <v>32.80570819322562</v>
      </c>
      <c r="AI27">
        <v>188.63282211104732</v>
      </c>
      <c r="AJ27">
        <v>57.40998933814484</v>
      </c>
      <c r="AK27">
        <v>492.08562289838432</v>
      </c>
      <c r="AL27">
        <f t="shared" si="6"/>
        <v>168.94939719511194</v>
      </c>
      <c r="AM27">
        <v>65.611416386451239</v>
      </c>
      <c r="AN27">
        <v>139.42425982120889</v>
      </c>
      <c r="AO27">
        <v>188.63282211104732</v>
      </c>
      <c r="AP27">
        <v>213.23710325596653</v>
      </c>
      <c r="AQ27">
        <v>237.84138440088577</v>
      </c>
      <c r="AR27">
        <f t="shared" si="7"/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3">
      <c r="A28" s="1" t="s">
        <v>19</v>
      </c>
      <c r="B28">
        <f t="shared" si="0"/>
        <v>36.064056899828877</v>
      </c>
      <c r="C28">
        <v>31.214639666003354</v>
      </c>
      <c r="D28">
        <v>43.198831680629645</v>
      </c>
      <c r="E28">
        <v>30.935937526128324</v>
      </c>
      <c r="F28">
        <v>32.886852505253536</v>
      </c>
      <c r="G28">
        <v>42.084023121129526</v>
      </c>
      <c r="H28">
        <f t="shared" si="1"/>
        <v>201.72460884154668</v>
      </c>
      <c r="I28">
        <v>192.30447651377068</v>
      </c>
      <c r="J28">
        <v>185.33692301689493</v>
      </c>
      <c r="K28">
        <v>229.09315897727461</v>
      </c>
      <c r="L28">
        <v>183.94341231751977</v>
      </c>
      <c r="M28">
        <v>217.94507338227342</v>
      </c>
      <c r="N28">
        <f t="shared" si="2"/>
        <v>199.04906829874639</v>
      </c>
      <c r="O28">
        <v>115.10398376838738</v>
      </c>
      <c r="P28">
        <v>166.38517750539287</v>
      </c>
      <c r="Q28">
        <v>221.84690334052385</v>
      </c>
      <c r="R28">
        <v>219.61728622152361</v>
      </c>
      <c r="S28">
        <v>272.29199065790425</v>
      </c>
      <c r="T28">
        <f t="shared" si="3"/>
        <v>44.313640240129772</v>
      </c>
      <c r="U28">
        <v>45.985853079379943</v>
      </c>
      <c r="V28">
        <v>50.16638517750539</v>
      </c>
      <c r="W28">
        <v>38.460895302754132</v>
      </c>
      <c r="X28">
        <v>42.920129540754616</v>
      </c>
      <c r="Y28">
        <v>44.034938100254735</v>
      </c>
      <c r="Z28">
        <f t="shared" si="4"/>
        <v>17.279532672251854</v>
      </c>
      <c r="AA28">
        <v>10.311979175376109</v>
      </c>
      <c r="AB28">
        <v>14.771213413376588</v>
      </c>
      <c r="AC28">
        <v>14.492511273501558</v>
      </c>
      <c r="AD28">
        <v>20.066554071002155</v>
      </c>
      <c r="AE28">
        <v>26.755405428002877</v>
      </c>
      <c r="AF28">
        <f t="shared" si="5"/>
        <v>141.07902320474017</v>
      </c>
      <c r="AG28">
        <v>91.414301879009827</v>
      </c>
      <c r="AH28">
        <v>166.10647536551787</v>
      </c>
      <c r="AI28">
        <v>180.04158235926934</v>
      </c>
      <c r="AJ28">
        <v>128.48168648238882</v>
      </c>
      <c r="AK28">
        <v>139.35106993751498</v>
      </c>
      <c r="AL28">
        <f t="shared" si="6"/>
        <v>795.36016677536054</v>
      </c>
      <c r="AM28">
        <v>542.91176847655834</v>
      </c>
      <c r="AN28">
        <v>674.73788063744757</v>
      </c>
      <c r="AO28">
        <v>851.43503731821647</v>
      </c>
      <c r="AP28">
        <v>938.39010495922582</v>
      </c>
      <c r="AQ28">
        <v>969.32604248535415</v>
      </c>
      <c r="AR28">
        <f t="shared" si="7"/>
        <v>0.7803659916500838</v>
      </c>
      <c r="AS28">
        <v>0.27870213987502995</v>
      </c>
      <c r="AT28">
        <v>2.5083192588752694</v>
      </c>
      <c r="AU28">
        <v>0.55740427975005991</v>
      </c>
      <c r="AV28">
        <v>0.55740427975005991</v>
      </c>
      <c r="AW28">
        <v>0</v>
      </c>
    </row>
    <row r="29" spans="1:49" x14ac:dyDescent="0.3">
      <c r="A29" s="1" t="s">
        <v>20</v>
      </c>
      <c r="B29">
        <f t="shared" si="0"/>
        <v>68.484724215706379</v>
      </c>
      <c r="C29">
        <v>55.361902809103952</v>
      </c>
      <c r="D29">
        <v>59.462784498667212</v>
      </c>
      <c r="E29">
        <v>36.907935206069304</v>
      </c>
      <c r="F29">
        <v>82.017633791265112</v>
      </c>
      <c r="G29">
        <v>108.67336477342629</v>
      </c>
      <c r="H29">
        <f t="shared" si="1"/>
        <v>228.41911010867335</v>
      </c>
      <c r="I29">
        <v>186.59011687512813</v>
      </c>
      <c r="J29">
        <v>260.40598728726673</v>
      </c>
      <c r="K29">
        <v>209.14496616772604</v>
      </c>
      <c r="L29">
        <v>198.8927619438179</v>
      </c>
      <c r="M29">
        <v>287.0617182694279</v>
      </c>
      <c r="N29">
        <f t="shared" si="2"/>
        <v>159.52429772401064</v>
      </c>
      <c r="O29">
        <v>112.77424646298954</v>
      </c>
      <c r="P29">
        <v>190.6909985646914</v>
      </c>
      <c r="Q29">
        <v>166.08570842731186</v>
      </c>
      <c r="R29">
        <v>135.32909575558745</v>
      </c>
      <c r="S29">
        <v>192.74143940947303</v>
      </c>
      <c r="T29">
        <f t="shared" si="3"/>
        <v>50.850932950584379</v>
      </c>
      <c r="U29">
        <v>59.462784498667212</v>
      </c>
      <c r="V29">
        <v>38.95837605085093</v>
      </c>
      <c r="W29">
        <v>38.95837605085093</v>
      </c>
      <c r="X29">
        <v>57.412343653885586</v>
      </c>
      <c r="Y29">
        <v>59.462784498667212</v>
      </c>
      <c r="Z29">
        <f t="shared" si="4"/>
        <v>21.324584785728931</v>
      </c>
      <c r="AA29">
        <v>14.353085913471396</v>
      </c>
      <c r="AB29">
        <v>16.403526758253022</v>
      </c>
      <c r="AC29">
        <v>8.2017633791265112</v>
      </c>
      <c r="AD29">
        <v>28.706171826942793</v>
      </c>
      <c r="AE29">
        <v>38.95837605085093</v>
      </c>
      <c r="AF29">
        <f t="shared" si="5"/>
        <v>198.48267377486158</v>
      </c>
      <c r="AG29">
        <v>104.57248308386302</v>
      </c>
      <c r="AH29">
        <v>207.09452532294443</v>
      </c>
      <c r="AI29">
        <v>166.08570842731186</v>
      </c>
      <c r="AJ29">
        <v>192.74143940947303</v>
      </c>
      <c r="AK29">
        <v>321.91921263071561</v>
      </c>
      <c r="AL29">
        <f t="shared" si="6"/>
        <v>403.9368464219807</v>
      </c>
      <c r="AM29">
        <v>268.60775066639326</v>
      </c>
      <c r="AN29">
        <v>342.42362107853188</v>
      </c>
      <c r="AO29">
        <v>410.0881689563256</v>
      </c>
      <c r="AP29">
        <v>449.04654500717652</v>
      </c>
      <c r="AQ29">
        <v>549.51814640147632</v>
      </c>
      <c r="AR29">
        <f t="shared" si="7"/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">
      <c r="A30" s="1" t="s">
        <v>21</v>
      </c>
      <c r="B30">
        <f t="shared" si="0"/>
        <v>74.858027878162119</v>
      </c>
      <c r="C30">
        <v>32.266391326794015</v>
      </c>
      <c r="D30">
        <v>83.892617449664442</v>
      </c>
      <c r="E30">
        <v>109.70573051109965</v>
      </c>
      <c r="F30">
        <v>70.986060918946833</v>
      </c>
      <c r="G30">
        <v>77.439339184305638</v>
      </c>
      <c r="H30">
        <f t="shared" si="1"/>
        <v>241.35260712441922</v>
      </c>
      <c r="I30">
        <v>161.33195663397007</v>
      </c>
      <c r="J30">
        <v>174.23851316468767</v>
      </c>
      <c r="K30">
        <v>258.13113061435212</v>
      </c>
      <c r="L30">
        <v>329.11719153329892</v>
      </c>
      <c r="M30">
        <v>283.94424367578733</v>
      </c>
      <c r="N30">
        <f t="shared" si="2"/>
        <v>258.13113061435212</v>
      </c>
      <c r="O30">
        <v>154.87867836861128</v>
      </c>
      <c r="P30">
        <v>193.59834796076407</v>
      </c>
      <c r="Q30">
        <v>232.3180175529169</v>
      </c>
      <c r="R30">
        <v>296.85080020650491</v>
      </c>
      <c r="S30">
        <v>413.00980898296336</v>
      </c>
      <c r="T30">
        <f t="shared" si="3"/>
        <v>87.764584408879713</v>
      </c>
      <c r="U30">
        <v>25.81311306143521</v>
      </c>
      <c r="V30">
        <v>135.51884357253485</v>
      </c>
      <c r="W30">
        <v>109.70573051109965</v>
      </c>
      <c r="X30">
        <v>51.62622612287042</v>
      </c>
      <c r="Y30">
        <v>116.15900877645845</v>
      </c>
      <c r="Z30">
        <f t="shared" si="4"/>
        <v>14.197212183789366</v>
      </c>
      <c r="AA30">
        <v>19.359834796076409</v>
      </c>
      <c r="AB30">
        <v>0</v>
      </c>
      <c r="AC30">
        <v>19.359834796076409</v>
      </c>
      <c r="AD30">
        <v>12.906556530717605</v>
      </c>
      <c r="AE30">
        <v>19.359834796076409</v>
      </c>
      <c r="AF30">
        <f t="shared" si="5"/>
        <v>143.26277749096542</v>
      </c>
      <c r="AG30">
        <v>64.532782653588029</v>
      </c>
      <c r="AH30">
        <v>116.15900877645845</v>
      </c>
      <c r="AI30">
        <v>116.15900877645845</v>
      </c>
      <c r="AJ30">
        <v>238.77129581827572</v>
      </c>
      <c r="AK30">
        <v>180.69179143004649</v>
      </c>
      <c r="AL30">
        <f t="shared" si="6"/>
        <v>291.68817759421785</v>
      </c>
      <c r="AM30">
        <v>232.3180175529169</v>
      </c>
      <c r="AN30">
        <v>361.38358286009299</v>
      </c>
      <c r="AO30">
        <v>316.21063500258134</v>
      </c>
      <c r="AP30">
        <v>283.94424367578733</v>
      </c>
      <c r="AQ30">
        <v>264.58440887971091</v>
      </c>
      <c r="AR30">
        <f t="shared" si="7"/>
        <v>2.5813113061435211</v>
      </c>
      <c r="AS30">
        <v>0</v>
      </c>
      <c r="AT30">
        <v>0</v>
      </c>
      <c r="AU30">
        <v>0</v>
      </c>
      <c r="AV30">
        <v>6.4532782653588026</v>
      </c>
      <c r="AW30">
        <v>6.4532782653588026</v>
      </c>
    </row>
    <row r="31" spans="1:49" x14ac:dyDescent="0.3">
      <c r="A31" s="1" t="s">
        <v>46</v>
      </c>
      <c r="B31">
        <f t="shared" si="0"/>
        <v>60.037044133614373</v>
      </c>
      <c r="C31">
        <v>31.934597943411895</v>
      </c>
      <c r="D31">
        <v>83.029954652870927</v>
      </c>
      <c r="E31">
        <v>76.643035064188552</v>
      </c>
      <c r="F31">
        <v>57.482276298141414</v>
      </c>
      <c r="G31">
        <v>51.095356709459033</v>
      </c>
      <c r="H31">
        <f t="shared" si="1"/>
        <v>168.6146771412148</v>
      </c>
      <c r="I31">
        <v>236.31602478124802</v>
      </c>
      <c r="J31">
        <v>172.44682889442424</v>
      </c>
      <c r="K31">
        <v>121.3514721849652</v>
      </c>
      <c r="L31">
        <v>166.05990930574185</v>
      </c>
      <c r="M31">
        <v>146.89915053969472</v>
      </c>
      <c r="N31">
        <f t="shared" si="2"/>
        <v>189.05281982499841</v>
      </c>
      <c r="O31">
        <v>185.22066807178899</v>
      </c>
      <c r="P31">
        <v>134.12531136232997</v>
      </c>
      <c r="Q31">
        <v>229.92910519256566</v>
      </c>
      <c r="R31">
        <v>185.22066807178899</v>
      </c>
      <c r="S31">
        <v>210.76834642651852</v>
      </c>
      <c r="T31">
        <f t="shared" si="3"/>
        <v>123.90624002043816</v>
      </c>
      <c r="U31">
        <v>114.96455259628283</v>
      </c>
      <c r="V31">
        <v>108.57763300760044</v>
      </c>
      <c r="W31">
        <v>121.3514721849652</v>
      </c>
      <c r="X31">
        <v>191.60758766047138</v>
      </c>
      <c r="Y31">
        <v>83.029954652870927</v>
      </c>
      <c r="Z31">
        <f t="shared" si="4"/>
        <v>24.270294436993041</v>
      </c>
      <c r="AA31">
        <v>19.160758766047138</v>
      </c>
      <c r="AB31">
        <v>6.3869195886823791</v>
      </c>
      <c r="AC31">
        <v>38.321517532094276</v>
      </c>
      <c r="AD31">
        <v>19.160758766047138</v>
      </c>
      <c r="AE31">
        <v>38.321517532094276</v>
      </c>
      <c r="AF31">
        <f t="shared" si="5"/>
        <v>166.05990930574185</v>
      </c>
      <c r="AG31">
        <v>146.89915053969472</v>
      </c>
      <c r="AH31">
        <v>153.2860701283771</v>
      </c>
      <c r="AI31">
        <v>159.67298971705947</v>
      </c>
      <c r="AJ31">
        <v>229.92910519256566</v>
      </c>
      <c r="AK31">
        <v>140.51223095101233</v>
      </c>
      <c r="AL31">
        <f t="shared" si="6"/>
        <v>212.04573034425499</v>
      </c>
      <c r="AM31">
        <v>197.99450724915374</v>
      </c>
      <c r="AN31">
        <v>229.92910519256566</v>
      </c>
      <c r="AO31">
        <v>197.99450724915374</v>
      </c>
      <c r="AP31">
        <v>261.86370313597752</v>
      </c>
      <c r="AQ31">
        <v>172.44682889442424</v>
      </c>
      <c r="AR31">
        <f t="shared" si="7"/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">
      <c r="A32" s="1" t="s">
        <v>22</v>
      </c>
      <c r="B32">
        <f t="shared" si="0"/>
        <v>51.009450171821314</v>
      </c>
      <c r="C32">
        <v>61.748281786941583</v>
      </c>
      <c r="D32">
        <v>53.694158075601379</v>
      </c>
      <c r="E32">
        <v>18.792955326460483</v>
      </c>
      <c r="F32">
        <v>61.748281786941583</v>
      </c>
      <c r="G32">
        <v>59.063573883161517</v>
      </c>
      <c r="H32">
        <f t="shared" si="1"/>
        <v>155.71305841924399</v>
      </c>
      <c r="I32">
        <v>166.45189003436428</v>
      </c>
      <c r="J32">
        <v>150.34364261168386</v>
      </c>
      <c r="K32">
        <v>155.71305841924399</v>
      </c>
      <c r="L32">
        <v>147.6589347079038</v>
      </c>
      <c r="M32">
        <v>158.39776632302406</v>
      </c>
      <c r="N32">
        <f t="shared" si="2"/>
        <v>201.35309278350519</v>
      </c>
      <c r="O32">
        <v>144.97422680412373</v>
      </c>
      <c r="P32">
        <v>155.71305841924399</v>
      </c>
      <c r="Q32">
        <v>212.09192439862545</v>
      </c>
      <c r="R32">
        <v>195.98367697594503</v>
      </c>
      <c r="S32">
        <v>298.00257731958766</v>
      </c>
      <c r="T32">
        <f t="shared" si="3"/>
        <v>90.74312714776633</v>
      </c>
      <c r="U32">
        <v>88.595360824742272</v>
      </c>
      <c r="V32">
        <v>102.01890034364261</v>
      </c>
      <c r="W32">
        <v>64.432989690721655</v>
      </c>
      <c r="X32">
        <v>72.487113402061865</v>
      </c>
      <c r="Y32">
        <v>126.18127147766324</v>
      </c>
      <c r="Z32">
        <f t="shared" si="4"/>
        <v>15.034364261168388</v>
      </c>
      <c r="AA32">
        <v>16.108247422680414</v>
      </c>
      <c r="AB32">
        <v>10.738831615120276</v>
      </c>
      <c r="AC32">
        <v>24.162371134020621</v>
      </c>
      <c r="AD32">
        <v>8.0541237113402069</v>
      </c>
      <c r="AE32">
        <v>16.108247422680414</v>
      </c>
      <c r="AF32">
        <f t="shared" si="5"/>
        <v>137.99398625429555</v>
      </c>
      <c r="AG32">
        <v>102.01890034364261</v>
      </c>
      <c r="AH32">
        <v>104.70360824742269</v>
      </c>
      <c r="AI32">
        <v>110.07302405498282</v>
      </c>
      <c r="AJ32">
        <v>174.50601374570448</v>
      </c>
      <c r="AK32">
        <v>198.6683848797251</v>
      </c>
      <c r="AL32">
        <f t="shared" si="6"/>
        <v>220.68298969072166</v>
      </c>
      <c r="AM32">
        <v>139.60481099656357</v>
      </c>
      <c r="AN32">
        <v>195.98367697594503</v>
      </c>
      <c r="AO32">
        <v>246.99312714776633</v>
      </c>
      <c r="AP32">
        <v>238.93900343642613</v>
      </c>
      <c r="AQ32">
        <v>281.89432989690721</v>
      </c>
      <c r="AR32">
        <f t="shared" si="7"/>
        <v>0.53694158075601384</v>
      </c>
      <c r="AS32">
        <v>2.684707903780069</v>
      </c>
      <c r="AT32">
        <v>0</v>
      </c>
      <c r="AU32">
        <v>0</v>
      </c>
      <c r="AV32">
        <v>0</v>
      </c>
      <c r="AW32">
        <v>0</v>
      </c>
    </row>
    <row r="33" spans="1:49" x14ac:dyDescent="0.3">
      <c r="A33" s="1" t="s">
        <v>23</v>
      </c>
      <c r="B33">
        <f t="shared" si="0"/>
        <v>56.25717566016074</v>
      </c>
      <c r="C33">
        <v>74.626865671641795</v>
      </c>
      <c r="D33">
        <v>74.626865671641795</v>
      </c>
      <c r="E33">
        <v>34.443168771526985</v>
      </c>
      <c r="F33">
        <v>45.924225028702644</v>
      </c>
      <c r="G33">
        <v>51.66475315729047</v>
      </c>
      <c r="H33">
        <f t="shared" si="1"/>
        <v>176.80826636050517</v>
      </c>
      <c r="I33">
        <v>137.77267508610794</v>
      </c>
      <c r="J33">
        <v>172.21584385763492</v>
      </c>
      <c r="K33">
        <v>218.14006888633756</v>
      </c>
      <c r="L33">
        <v>177.95637198622273</v>
      </c>
      <c r="M33">
        <v>177.95637198622273</v>
      </c>
      <c r="N33">
        <f t="shared" si="2"/>
        <v>257.17566016073476</v>
      </c>
      <c r="O33">
        <v>172.21584385763492</v>
      </c>
      <c r="P33">
        <v>241.10218140068886</v>
      </c>
      <c r="Q33">
        <v>183.69690011481057</v>
      </c>
      <c r="R33">
        <v>407.57749712973595</v>
      </c>
      <c r="S33">
        <v>281.28587830080369</v>
      </c>
      <c r="T33">
        <f t="shared" si="3"/>
        <v>66.59012629161883</v>
      </c>
      <c r="U33">
        <v>57.405281285878303</v>
      </c>
      <c r="V33">
        <v>103.32950631458094</v>
      </c>
      <c r="W33">
        <v>80.367393800229621</v>
      </c>
      <c r="X33">
        <v>57.405281285878303</v>
      </c>
      <c r="Y33">
        <v>34.443168771526985</v>
      </c>
      <c r="Z33">
        <f t="shared" si="4"/>
        <v>24.110218140068888</v>
      </c>
      <c r="AA33">
        <v>22.962112514351322</v>
      </c>
      <c r="AB33">
        <v>17.221584385763492</v>
      </c>
      <c r="AC33">
        <v>28.702640642939151</v>
      </c>
      <c r="AD33">
        <v>28.702640642939151</v>
      </c>
      <c r="AE33">
        <v>22.962112514351322</v>
      </c>
      <c r="AF33">
        <f t="shared" si="5"/>
        <v>99.885189437428252</v>
      </c>
      <c r="AG33">
        <v>126.29161882893227</v>
      </c>
      <c r="AH33">
        <v>74.626865671641795</v>
      </c>
      <c r="AI33">
        <v>126.29161882893227</v>
      </c>
      <c r="AJ33">
        <v>86.107921928817461</v>
      </c>
      <c r="AK33">
        <v>86.107921928817461</v>
      </c>
      <c r="AL33">
        <f t="shared" si="6"/>
        <v>304.24799081515499</v>
      </c>
      <c r="AM33">
        <v>264.0642939150402</v>
      </c>
      <c r="AN33">
        <v>258.32376578645238</v>
      </c>
      <c r="AO33">
        <v>327.21010332950635</v>
      </c>
      <c r="AP33">
        <v>378.87485648679677</v>
      </c>
      <c r="AQ33">
        <v>292.76693455797937</v>
      </c>
      <c r="AR33">
        <f t="shared" si="7"/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3">
      <c r="A34" s="1" t="s">
        <v>24</v>
      </c>
      <c r="B34">
        <f t="shared" si="0"/>
        <v>52.79577633789296</v>
      </c>
      <c r="C34">
        <v>35.997120230381569</v>
      </c>
      <c r="D34">
        <v>57.595392368610511</v>
      </c>
      <c r="E34">
        <v>57.595392368610511</v>
      </c>
      <c r="F34">
        <v>57.595392368610511</v>
      </c>
      <c r="G34">
        <v>55.195584353251739</v>
      </c>
      <c r="H34">
        <f t="shared" si="1"/>
        <v>267.81857451403891</v>
      </c>
      <c r="I34">
        <v>211.18310535157187</v>
      </c>
      <c r="J34">
        <v>273.57811375089994</v>
      </c>
      <c r="K34">
        <v>321.57427405807533</v>
      </c>
      <c r="L34">
        <v>251.97984161267098</v>
      </c>
      <c r="M34">
        <v>280.77753779697622</v>
      </c>
      <c r="N34">
        <f t="shared" si="2"/>
        <v>157.42740580753539</v>
      </c>
      <c r="O34">
        <v>196.78425725941923</v>
      </c>
      <c r="P34">
        <v>91.192704583633301</v>
      </c>
      <c r="Q34">
        <v>163.18694504439645</v>
      </c>
      <c r="R34">
        <v>179.98560115190784</v>
      </c>
      <c r="S34">
        <v>155.98752099832012</v>
      </c>
      <c r="T34">
        <f t="shared" si="3"/>
        <v>59.515238780897526</v>
      </c>
      <c r="U34">
        <v>100.79193664506839</v>
      </c>
      <c r="V34">
        <v>47.996160307175423</v>
      </c>
      <c r="W34">
        <v>45.59635229181665</v>
      </c>
      <c r="X34">
        <v>55.195584353251739</v>
      </c>
      <c r="Y34">
        <v>47.996160307175423</v>
      </c>
      <c r="Z34">
        <f t="shared" si="4"/>
        <v>21.598272138228943</v>
      </c>
      <c r="AA34">
        <v>31.197504199664024</v>
      </c>
      <c r="AB34">
        <v>9.5992320614350852</v>
      </c>
      <c r="AC34">
        <v>9.5992320614350852</v>
      </c>
      <c r="AD34">
        <v>19.19846412287017</v>
      </c>
      <c r="AE34">
        <v>38.396928245740341</v>
      </c>
      <c r="AF34">
        <f t="shared" si="5"/>
        <v>115.19078473722102</v>
      </c>
      <c r="AG34">
        <v>71.994240460763137</v>
      </c>
      <c r="AH34">
        <v>136.78905687544997</v>
      </c>
      <c r="AI34">
        <v>155.98752099832012</v>
      </c>
      <c r="AJ34">
        <v>86.393088552915771</v>
      </c>
      <c r="AK34">
        <v>124.7900167986561</v>
      </c>
      <c r="AL34">
        <f t="shared" si="6"/>
        <v>349.89200863930887</v>
      </c>
      <c r="AM34">
        <v>165.58675305975521</v>
      </c>
      <c r="AN34">
        <v>328.77369810415166</v>
      </c>
      <c r="AO34">
        <v>412.76697864170865</v>
      </c>
      <c r="AP34">
        <v>400.7679385649148</v>
      </c>
      <c r="AQ34">
        <v>441.56467482601391</v>
      </c>
      <c r="AR34">
        <f t="shared" si="7"/>
        <v>0.95992320614350857</v>
      </c>
      <c r="AS34">
        <v>0</v>
      </c>
      <c r="AT34">
        <v>2.3998080153587713</v>
      </c>
      <c r="AU34">
        <v>0</v>
      </c>
      <c r="AV34">
        <v>0</v>
      </c>
      <c r="AW34">
        <v>2.3998080153587713</v>
      </c>
    </row>
    <row r="35" spans="1:49" x14ac:dyDescent="0.3">
      <c r="A35" s="1" t="s">
        <v>25</v>
      </c>
      <c r="B35">
        <f t="shared" si="0"/>
        <v>150.99519560741251</v>
      </c>
      <c r="C35">
        <v>102.95126973232671</v>
      </c>
      <c r="D35">
        <v>171.58544955387782</v>
      </c>
      <c r="E35">
        <v>185.31228551818808</v>
      </c>
      <c r="F35">
        <v>116.67810569663693</v>
      </c>
      <c r="G35">
        <v>178.44886753603294</v>
      </c>
      <c r="H35">
        <f t="shared" si="1"/>
        <v>113.93273850377489</v>
      </c>
      <c r="I35">
        <v>130.40494166094715</v>
      </c>
      <c r="J35">
        <v>130.40494166094715</v>
      </c>
      <c r="K35">
        <v>102.95126973232671</v>
      </c>
      <c r="L35">
        <v>96.087851750171595</v>
      </c>
      <c r="M35">
        <v>109.81468771448182</v>
      </c>
      <c r="N35">
        <f t="shared" si="2"/>
        <v>64.516129032258078</v>
      </c>
      <c r="O35">
        <v>48.043925875085797</v>
      </c>
      <c r="P35">
        <v>61.770761839396023</v>
      </c>
      <c r="Q35">
        <v>48.043925875085797</v>
      </c>
      <c r="R35">
        <v>116.67810569663693</v>
      </c>
      <c r="S35">
        <v>48.043925875085797</v>
      </c>
      <c r="T35">
        <f t="shared" si="3"/>
        <v>46.671242278654766</v>
      </c>
      <c r="U35">
        <v>41.180507892930677</v>
      </c>
      <c r="V35">
        <v>116.67810569663693</v>
      </c>
      <c r="W35">
        <v>0</v>
      </c>
      <c r="X35">
        <v>54.90734385724091</v>
      </c>
      <c r="Y35">
        <v>20.590253946465339</v>
      </c>
      <c r="Z35">
        <f t="shared" si="4"/>
        <v>17.844886753603298</v>
      </c>
      <c r="AA35">
        <v>6.8634179821551138</v>
      </c>
      <c r="AB35">
        <v>0</v>
      </c>
      <c r="AC35">
        <v>6.8634179821551138</v>
      </c>
      <c r="AD35">
        <v>13.726835964310228</v>
      </c>
      <c r="AE35">
        <v>61.770761839396023</v>
      </c>
      <c r="AF35">
        <f t="shared" si="5"/>
        <v>50.789293067947838</v>
      </c>
      <c r="AG35">
        <v>82.361015785861355</v>
      </c>
      <c r="AH35">
        <v>41.180507892930677</v>
      </c>
      <c r="AI35">
        <v>20.590253946465339</v>
      </c>
      <c r="AJ35">
        <v>41.180507892930677</v>
      </c>
      <c r="AK35">
        <v>68.634179821551129</v>
      </c>
      <c r="AL35">
        <f t="shared" si="6"/>
        <v>102.95126973232668</v>
      </c>
      <c r="AM35">
        <v>68.634179821551129</v>
      </c>
      <c r="AN35">
        <v>150.99519560741248</v>
      </c>
      <c r="AO35">
        <v>137.26835964310226</v>
      </c>
      <c r="AP35">
        <v>82.361015785861355</v>
      </c>
      <c r="AQ35">
        <v>75.497597803706242</v>
      </c>
      <c r="AR35">
        <f t="shared" si="7"/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3">
      <c r="A36" s="1" t="s">
        <v>26</v>
      </c>
      <c r="B36">
        <f t="shared" si="0"/>
        <v>83.246618106139437</v>
      </c>
      <c r="C36">
        <v>57.232049947970857</v>
      </c>
      <c r="D36">
        <v>72.840790842872011</v>
      </c>
      <c r="E36">
        <v>72.840790842872011</v>
      </c>
      <c r="F36">
        <v>93.652445369406863</v>
      </c>
      <c r="G36">
        <v>119.66701352757543</v>
      </c>
      <c r="H36">
        <f t="shared" si="1"/>
        <v>108.22060353798126</v>
      </c>
      <c r="I36">
        <v>52.029136316337144</v>
      </c>
      <c r="J36">
        <v>93.652445369406863</v>
      </c>
      <c r="K36">
        <v>67.63787721123829</v>
      </c>
      <c r="L36">
        <v>166.49323621227887</v>
      </c>
      <c r="M36">
        <v>161.29032258064515</v>
      </c>
      <c r="N36">
        <f t="shared" si="2"/>
        <v>149.84391259105098</v>
      </c>
      <c r="O36">
        <v>171.69614984391259</v>
      </c>
      <c r="P36">
        <v>145.68158168574402</v>
      </c>
      <c r="Q36">
        <v>182.10197710718001</v>
      </c>
      <c r="R36">
        <v>62.434963579604577</v>
      </c>
      <c r="S36">
        <v>187.30489073881373</v>
      </c>
      <c r="T36">
        <f t="shared" si="3"/>
        <v>71.800208116545264</v>
      </c>
      <c r="U36">
        <v>78.043704474505716</v>
      </c>
      <c r="V36">
        <v>88.449531737773142</v>
      </c>
      <c r="W36">
        <v>72.840790842872011</v>
      </c>
      <c r="X36">
        <v>67.63787721123829</v>
      </c>
      <c r="Y36">
        <v>52.029136316337144</v>
      </c>
      <c r="Z36">
        <f t="shared" si="4"/>
        <v>27.055150884495315</v>
      </c>
      <c r="AA36">
        <v>15.608740894901144</v>
      </c>
      <c r="AB36">
        <v>20.811654526534859</v>
      </c>
      <c r="AC36">
        <v>26.014568158168572</v>
      </c>
      <c r="AD36">
        <v>15.608740894901144</v>
      </c>
      <c r="AE36">
        <v>57.232049947970857</v>
      </c>
      <c r="AF36">
        <f t="shared" si="5"/>
        <v>81.165452653485943</v>
      </c>
      <c r="AG36">
        <v>41.623309053069718</v>
      </c>
      <c r="AH36">
        <v>57.232049947970857</v>
      </c>
      <c r="AI36">
        <v>124.86992715920915</v>
      </c>
      <c r="AJ36">
        <v>104.05827263267429</v>
      </c>
      <c r="AK36">
        <v>78.043704474505716</v>
      </c>
      <c r="AL36">
        <f t="shared" si="6"/>
        <v>100.93652445369408</v>
      </c>
      <c r="AM36">
        <v>88.449531737773142</v>
      </c>
      <c r="AN36">
        <v>52.029136316337144</v>
      </c>
      <c r="AO36">
        <v>109.26118626430801</v>
      </c>
      <c r="AP36">
        <v>145.68158168574402</v>
      </c>
      <c r="AQ36">
        <v>109.26118626430801</v>
      </c>
      <c r="AR36">
        <f t="shared" si="7"/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3">
      <c r="A37" s="1" t="s">
        <v>47</v>
      </c>
      <c r="B37">
        <f t="shared" si="0"/>
        <v>53.338387393729349</v>
      </c>
      <c r="C37">
        <v>66.785798090287173</v>
      </c>
      <c r="D37">
        <v>57.309434847746431</v>
      </c>
      <c r="E37">
        <v>45.125539250194038</v>
      </c>
      <c r="F37">
        <v>55.955668670240613</v>
      </c>
      <c r="G37">
        <v>41.515496110178518</v>
      </c>
      <c r="H37">
        <f t="shared" si="1"/>
        <v>145.48473854262559</v>
      </c>
      <c r="I37">
        <v>123.19272215302973</v>
      </c>
      <c r="J37">
        <v>110.55757116297539</v>
      </c>
      <c r="K37">
        <v>161.09817512319273</v>
      </c>
      <c r="L37">
        <v>162.0006859081966</v>
      </c>
      <c r="M37">
        <v>170.57453836573347</v>
      </c>
      <c r="N37">
        <f t="shared" si="2"/>
        <v>162.90319669320047</v>
      </c>
      <c r="O37">
        <v>110.10631577047346</v>
      </c>
      <c r="P37">
        <v>132.21783000306854</v>
      </c>
      <c r="Q37">
        <v>80.774715257847333</v>
      </c>
      <c r="R37">
        <v>209.83375751340228</v>
      </c>
      <c r="S37">
        <v>281.58336492121083</v>
      </c>
      <c r="T37">
        <f t="shared" si="3"/>
        <v>68.410317503294166</v>
      </c>
      <c r="U37">
        <v>57.760690240248373</v>
      </c>
      <c r="V37">
        <v>67.237053482789122</v>
      </c>
      <c r="W37">
        <v>64.98077652027942</v>
      </c>
      <c r="X37">
        <v>70.847096622804642</v>
      </c>
      <c r="Y37">
        <v>81.225970650349268</v>
      </c>
      <c r="Z37">
        <f t="shared" si="4"/>
        <v>47.923322683706068</v>
      </c>
      <c r="AA37">
        <v>39.710474540170758</v>
      </c>
      <c r="AB37">
        <v>27.977834335120306</v>
      </c>
      <c r="AC37">
        <v>64.98077652027942</v>
      </c>
      <c r="AD37">
        <v>50.089348567715383</v>
      </c>
      <c r="AE37">
        <v>56.858179455244489</v>
      </c>
      <c r="AF37">
        <f t="shared" si="5"/>
        <v>130.14205519755961</v>
      </c>
      <c r="AG37">
        <v>84.836013790364788</v>
      </c>
      <c r="AH37">
        <v>85.287269182866737</v>
      </c>
      <c r="AI37">
        <v>181.85592317828198</v>
      </c>
      <c r="AJ37">
        <v>138.53540549809571</v>
      </c>
      <c r="AK37">
        <v>160.19566433818883</v>
      </c>
      <c r="AL37">
        <f t="shared" si="6"/>
        <v>492.40988429811722</v>
      </c>
      <c r="AM37">
        <v>359.6505478240465</v>
      </c>
      <c r="AN37">
        <v>490.06335625710727</v>
      </c>
      <c r="AO37">
        <v>643.03893431526501</v>
      </c>
      <c r="AP37">
        <v>561.36170827241381</v>
      </c>
      <c r="AQ37">
        <v>407.93487482175414</v>
      </c>
      <c r="AR37">
        <f t="shared" si="7"/>
        <v>0.18050215700077615</v>
      </c>
      <c r="AS37">
        <v>0</v>
      </c>
      <c r="AT37">
        <v>0</v>
      </c>
      <c r="AU37">
        <v>0.45125539250194041</v>
      </c>
      <c r="AV37">
        <v>0.45125539250194041</v>
      </c>
      <c r="AW37">
        <v>0</v>
      </c>
    </row>
    <row r="38" spans="1:49" x14ac:dyDescent="0.3">
      <c r="A38" s="1" t="s">
        <v>27</v>
      </c>
      <c r="B38">
        <f t="shared" si="0"/>
        <v>51.385575334923843</v>
      </c>
      <c r="C38">
        <v>18.351991191044231</v>
      </c>
      <c r="D38">
        <v>18.351991191044231</v>
      </c>
      <c r="E38">
        <v>73.407964764176924</v>
      </c>
      <c r="F38">
        <v>18.351991191044231</v>
      </c>
      <c r="G38">
        <v>128.4639383373096</v>
      </c>
      <c r="H38">
        <f t="shared" si="1"/>
        <v>110.11194714626535</v>
      </c>
      <c r="I38">
        <v>55.05597357313269</v>
      </c>
      <c r="J38">
        <v>201.87190310148651</v>
      </c>
      <c r="K38">
        <v>91.759955955221145</v>
      </c>
      <c r="L38">
        <v>128.4639383373096</v>
      </c>
      <c r="M38">
        <v>73.407964764176924</v>
      </c>
      <c r="N38">
        <f t="shared" si="2"/>
        <v>128.4639383373096</v>
      </c>
      <c r="O38">
        <v>110.11194714626538</v>
      </c>
      <c r="P38">
        <v>183.51991191044229</v>
      </c>
      <c r="Q38">
        <v>91.759955955221145</v>
      </c>
      <c r="R38">
        <v>128.4639383373096</v>
      </c>
      <c r="S38">
        <v>128.4639383373096</v>
      </c>
      <c r="T38">
        <f t="shared" si="3"/>
        <v>44.044778858506156</v>
      </c>
      <c r="U38">
        <v>110.11194714626538</v>
      </c>
      <c r="V38">
        <v>73.407964764176924</v>
      </c>
      <c r="W38">
        <v>0</v>
      </c>
      <c r="X38">
        <v>0</v>
      </c>
      <c r="Y38">
        <v>36.703982382088462</v>
      </c>
      <c r="Z38">
        <f t="shared" si="4"/>
        <v>14.681592952835384</v>
      </c>
      <c r="AA38">
        <v>0</v>
      </c>
      <c r="AB38">
        <v>18.351991191044231</v>
      </c>
      <c r="AC38">
        <v>36.703982382088462</v>
      </c>
      <c r="AD38">
        <v>18.351991191044231</v>
      </c>
      <c r="AE38">
        <v>0</v>
      </c>
      <c r="AF38">
        <f t="shared" si="5"/>
        <v>143.14553129014502</v>
      </c>
      <c r="AG38">
        <v>183.51991191044229</v>
      </c>
      <c r="AH38">
        <v>220.22389429253076</v>
      </c>
      <c r="AI38">
        <v>238.57588548357498</v>
      </c>
      <c r="AJ38">
        <v>36.703982382088462</v>
      </c>
      <c r="AK38">
        <v>36.703982382088462</v>
      </c>
      <c r="AL38">
        <f t="shared" si="6"/>
        <v>132.13433657551846</v>
      </c>
      <c r="AM38">
        <v>110.11194714626538</v>
      </c>
      <c r="AN38">
        <v>91.759955955221145</v>
      </c>
      <c r="AO38">
        <v>220.22389429253076</v>
      </c>
      <c r="AP38">
        <v>110.11194714626538</v>
      </c>
      <c r="AQ38">
        <v>128.4639383373096</v>
      </c>
      <c r="AR38">
        <f t="shared" si="7"/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3">
      <c r="A39" s="1" t="s">
        <v>28</v>
      </c>
      <c r="B39">
        <f t="shared" si="0"/>
        <v>31.263322438539149</v>
      </c>
      <c r="C39">
        <v>28.421202216853771</v>
      </c>
      <c r="D39">
        <v>14.210601108426886</v>
      </c>
      <c r="E39">
        <v>28.421202216853771</v>
      </c>
      <c r="F39">
        <v>42.631803325280657</v>
      </c>
      <c r="G39">
        <v>42.631803325280657</v>
      </c>
      <c r="H39">
        <f t="shared" si="1"/>
        <v>108.00056842404433</v>
      </c>
      <c r="I39">
        <v>127.89540997584197</v>
      </c>
      <c r="J39">
        <v>99.4742077589882</v>
      </c>
      <c r="K39">
        <v>142.10601108426886</v>
      </c>
      <c r="L39">
        <v>85.263606650561314</v>
      </c>
      <c r="M39">
        <v>85.263606650561314</v>
      </c>
      <c r="N39">
        <f t="shared" si="2"/>
        <v>184.73781440954951</v>
      </c>
      <c r="O39">
        <v>156.31661219269574</v>
      </c>
      <c r="P39">
        <v>156.31661219269574</v>
      </c>
      <c r="Q39">
        <v>127.89540997584197</v>
      </c>
      <c r="R39">
        <v>198.9484155179764</v>
      </c>
      <c r="S39">
        <v>284.21202216853771</v>
      </c>
      <c r="T39">
        <f t="shared" si="3"/>
        <v>54.000284212022166</v>
      </c>
      <c r="U39">
        <v>14.210601108426886</v>
      </c>
      <c r="V39">
        <v>42.631803325280657</v>
      </c>
      <c r="W39">
        <v>99.4742077589882</v>
      </c>
      <c r="X39">
        <v>56.842404433707543</v>
      </c>
      <c r="Y39">
        <v>56.842404433707543</v>
      </c>
      <c r="Z39">
        <f t="shared" si="4"/>
        <v>11.368480886741509</v>
      </c>
      <c r="AA39">
        <v>0</v>
      </c>
      <c r="AB39">
        <v>0</v>
      </c>
      <c r="AC39">
        <v>14.210601108426886</v>
      </c>
      <c r="AD39">
        <v>14.210601108426886</v>
      </c>
      <c r="AE39">
        <v>28.421202216853771</v>
      </c>
      <c r="AF39">
        <f t="shared" si="5"/>
        <v>42.631803325280657</v>
      </c>
      <c r="AG39">
        <v>14.210601108426886</v>
      </c>
      <c r="AH39">
        <v>42.631803325280657</v>
      </c>
      <c r="AI39">
        <v>42.631803325280657</v>
      </c>
      <c r="AJ39">
        <v>71.053005542134429</v>
      </c>
      <c r="AK39">
        <v>42.631803325280657</v>
      </c>
      <c r="AL39">
        <f t="shared" si="6"/>
        <v>88.105726872246692</v>
      </c>
      <c r="AM39">
        <v>71.053005542134429</v>
      </c>
      <c r="AN39">
        <v>85.263606650561314</v>
      </c>
      <c r="AO39">
        <v>127.89540997584197</v>
      </c>
      <c r="AP39">
        <v>156.31661219269574</v>
      </c>
      <c r="AQ39">
        <v>0</v>
      </c>
      <c r="AR39">
        <f t="shared" si="7"/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3">
      <c r="A40" s="1" t="s">
        <v>29</v>
      </c>
      <c r="B40">
        <f t="shared" si="0"/>
        <v>24.528591139046451</v>
      </c>
      <c r="C40">
        <v>15.330369461904032</v>
      </c>
      <c r="D40">
        <v>15.330369461904032</v>
      </c>
      <c r="E40">
        <v>30.660738923808065</v>
      </c>
      <c r="F40">
        <v>15.330369461904032</v>
      </c>
      <c r="G40">
        <v>45.991108385712096</v>
      </c>
      <c r="H40">
        <f t="shared" si="1"/>
        <v>164.03495324237315</v>
      </c>
      <c r="I40">
        <v>114.97777096428024</v>
      </c>
      <c r="J40">
        <v>137.97332515713629</v>
      </c>
      <c r="K40">
        <v>191.62961827380042</v>
      </c>
      <c r="L40">
        <v>130.30814042618428</v>
      </c>
      <c r="M40">
        <v>245.28591139046452</v>
      </c>
      <c r="N40">
        <f t="shared" si="2"/>
        <v>142.57243599570751</v>
      </c>
      <c r="O40">
        <v>107.31258623332823</v>
      </c>
      <c r="P40">
        <v>206.95998773570443</v>
      </c>
      <c r="Q40">
        <v>137.97332515713629</v>
      </c>
      <c r="R40">
        <v>99.647401502376212</v>
      </c>
      <c r="S40">
        <v>160.96887934999233</v>
      </c>
      <c r="T40">
        <f t="shared" si="3"/>
        <v>75.118810363329757</v>
      </c>
      <c r="U40">
        <v>61.32147784761613</v>
      </c>
      <c r="V40">
        <v>160.96887934999233</v>
      </c>
      <c r="W40">
        <v>15.330369461904032</v>
      </c>
      <c r="X40">
        <v>45.991108385712096</v>
      </c>
      <c r="Y40">
        <v>91.982216771424191</v>
      </c>
      <c r="Z40">
        <f t="shared" si="4"/>
        <v>18.396443354284838</v>
      </c>
      <c r="AA40">
        <v>7.6651847309520162</v>
      </c>
      <c r="AB40">
        <v>61.32147784761613</v>
      </c>
      <c r="AC40">
        <v>15.330369461904032</v>
      </c>
      <c r="AD40">
        <v>7.6651847309520162</v>
      </c>
      <c r="AE40">
        <v>0</v>
      </c>
      <c r="AF40">
        <f t="shared" si="5"/>
        <v>139.50636210332669</v>
      </c>
      <c r="AG40">
        <v>91.982216771424191</v>
      </c>
      <c r="AH40">
        <v>114.97777096428024</v>
      </c>
      <c r="AI40">
        <v>222.29035719760847</v>
      </c>
      <c r="AJ40">
        <v>160.96887934999233</v>
      </c>
      <c r="AK40">
        <v>107.31258623332823</v>
      </c>
      <c r="AL40">
        <f t="shared" si="6"/>
        <v>269.81450252951095</v>
      </c>
      <c r="AM40">
        <v>206.95998773570443</v>
      </c>
      <c r="AN40">
        <v>229.95554192856048</v>
      </c>
      <c r="AO40">
        <v>321.93775869998467</v>
      </c>
      <c r="AP40">
        <v>214.62517246665647</v>
      </c>
      <c r="AQ40">
        <v>375.5940518166488</v>
      </c>
      <c r="AR40">
        <f t="shared" si="7"/>
        <v>1.5330369461904032</v>
      </c>
      <c r="AS40">
        <v>7.6651847309520162</v>
      </c>
      <c r="AT40">
        <v>0</v>
      </c>
      <c r="AU40">
        <v>0</v>
      </c>
      <c r="AV40">
        <v>0</v>
      </c>
      <c r="AW40">
        <v>0</v>
      </c>
    </row>
    <row r="41" spans="1:49" x14ac:dyDescent="0.3">
      <c r="A41" s="1" t="s">
        <v>30</v>
      </c>
      <c r="B41">
        <f t="shared" si="0"/>
        <v>58.536585365853661</v>
      </c>
      <c r="C41">
        <v>54.878048780487802</v>
      </c>
      <c r="D41">
        <v>54.878048780487802</v>
      </c>
      <c r="E41">
        <v>48.780487804878049</v>
      </c>
      <c r="F41">
        <v>54.878048780487802</v>
      </c>
      <c r="G41">
        <v>79.268292682926827</v>
      </c>
      <c r="H41">
        <f t="shared" si="1"/>
        <v>254.87804878048777</v>
      </c>
      <c r="I41">
        <v>164.63414634146341</v>
      </c>
      <c r="J41">
        <v>268.29268292682923</v>
      </c>
      <c r="K41">
        <v>225.60975609756096</v>
      </c>
      <c r="L41">
        <v>384.14634146341461</v>
      </c>
      <c r="M41">
        <v>231.70731707317071</v>
      </c>
      <c r="N41">
        <f t="shared" si="2"/>
        <v>200</v>
      </c>
      <c r="O41">
        <v>140.2439024390244</v>
      </c>
      <c r="P41">
        <v>164.63414634146341</v>
      </c>
      <c r="Q41">
        <v>189.02439024390245</v>
      </c>
      <c r="R41">
        <v>170.73170731707316</v>
      </c>
      <c r="S41">
        <v>335.36585365853659</v>
      </c>
      <c r="T41">
        <f t="shared" si="3"/>
        <v>65.853658536585357</v>
      </c>
      <c r="U41">
        <v>54.878048780487802</v>
      </c>
      <c r="V41">
        <v>42.68292682926829</v>
      </c>
      <c r="W41">
        <v>85.365853658536579</v>
      </c>
      <c r="X41">
        <v>24.390243902439025</v>
      </c>
      <c r="Y41">
        <v>121.95121951219512</v>
      </c>
      <c r="Z41">
        <f t="shared" si="4"/>
        <v>18.292682926829269</v>
      </c>
      <c r="AA41">
        <v>24.390243902439025</v>
      </c>
      <c r="AB41">
        <v>24.390243902439025</v>
      </c>
      <c r="AC41">
        <v>18.292682926829269</v>
      </c>
      <c r="AD41">
        <v>6.0975609756097562</v>
      </c>
      <c r="AE41">
        <v>18.292682926829269</v>
      </c>
      <c r="AF41">
        <f t="shared" si="5"/>
        <v>137.80487804878049</v>
      </c>
      <c r="AG41">
        <v>97.560975609756099</v>
      </c>
      <c r="AH41">
        <v>146.34146341463415</v>
      </c>
      <c r="AI41">
        <v>134.14634146341461</v>
      </c>
      <c r="AJ41">
        <v>195.1219512195122</v>
      </c>
      <c r="AK41">
        <v>115.85365853658536</v>
      </c>
      <c r="AL41">
        <f t="shared" si="6"/>
        <v>390.24390243902434</v>
      </c>
      <c r="AM41">
        <v>274.39024390243901</v>
      </c>
      <c r="AN41">
        <v>323.17073170731703</v>
      </c>
      <c r="AO41">
        <v>548.78048780487802</v>
      </c>
      <c r="AP41">
        <v>487.80487804878049</v>
      </c>
      <c r="AQ41">
        <v>317.07317073170731</v>
      </c>
      <c r="AR41">
        <f t="shared" si="7"/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">
      <c r="A42" s="1" t="s">
        <v>31</v>
      </c>
      <c r="B42">
        <f t="shared" si="0"/>
        <v>62.615497784236673</v>
      </c>
      <c r="C42">
        <v>66.383192493316827</v>
      </c>
      <c r="D42">
        <v>99.574788739975233</v>
      </c>
      <c r="E42">
        <v>53.824210129716342</v>
      </c>
      <c r="F42">
        <v>53.824210129716342</v>
      </c>
      <c r="G42">
        <v>39.471087428458652</v>
      </c>
      <c r="H42">
        <f t="shared" si="1"/>
        <v>277.01526813427341</v>
      </c>
      <c r="I42">
        <v>214.39977035003676</v>
      </c>
      <c r="J42">
        <v>267.32691031092452</v>
      </c>
      <c r="K42">
        <v>276.29761199921057</v>
      </c>
      <c r="L42">
        <v>331.91596246658412</v>
      </c>
      <c r="M42">
        <v>295.13608554461126</v>
      </c>
      <c r="N42">
        <f t="shared" si="2"/>
        <v>305.72151353678885</v>
      </c>
      <c r="O42">
        <v>221.57633170066561</v>
      </c>
      <c r="P42">
        <v>347.16615533667044</v>
      </c>
      <c r="Q42">
        <v>244.90015609020935</v>
      </c>
      <c r="R42">
        <v>231.44410355778027</v>
      </c>
      <c r="S42">
        <v>483.52082099861849</v>
      </c>
      <c r="T42">
        <f t="shared" si="3"/>
        <v>67.997918797208314</v>
      </c>
      <c r="U42">
        <v>69.074402999802643</v>
      </c>
      <c r="V42">
        <v>69.074402999802643</v>
      </c>
      <c r="W42">
        <v>72.662683675117066</v>
      </c>
      <c r="X42">
        <v>64.589052155659616</v>
      </c>
      <c r="Y42">
        <v>64.589052155659616</v>
      </c>
      <c r="Z42">
        <f t="shared" si="4"/>
        <v>18.300231444103556</v>
      </c>
      <c r="AA42">
        <v>8.9707016882860575</v>
      </c>
      <c r="AB42">
        <v>24.220894558372354</v>
      </c>
      <c r="AC42">
        <v>16.147263038914904</v>
      </c>
      <c r="AD42">
        <v>20.632613883057932</v>
      </c>
      <c r="AE42">
        <v>21.529684051886537</v>
      </c>
      <c r="AF42">
        <f t="shared" si="5"/>
        <v>185.69352494752138</v>
      </c>
      <c r="AG42">
        <v>99.574788739975233</v>
      </c>
      <c r="AH42">
        <v>232.34117372660887</v>
      </c>
      <c r="AI42">
        <v>207.22320899940792</v>
      </c>
      <c r="AJ42">
        <v>213.50270018120816</v>
      </c>
      <c r="AK42">
        <v>175.82575309040672</v>
      </c>
      <c r="AL42">
        <f t="shared" si="6"/>
        <v>941.74426323627017</v>
      </c>
      <c r="AM42">
        <v>722.14148590702757</v>
      </c>
      <c r="AN42">
        <v>908.73208102337765</v>
      </c>
      <c r="AO42">
        <v>1123.1318513734143</v>
      </c>
      <c r="AP42">
        <v>1007.4097995945242</v>
      </c>
      <c r="AQ42">
        <v>947.3060982830076</v>
      </c>
      <c r="AR42">
        <f t="shared" si="7"/>
        <v>0.17941403376572113</v>
      </c>
      <c r="AS42">
        <v>0.89707016882860569</v>
      </c>
      <c r="AT42">
        <v>0</v>
      </c>
      <c r="AU42">
        <v>0</v>
      </c>
      <c r="AV42">
        <v>0</v>
      </c>
      <c r="AW42">
        <v>0</v>
      </c>
    </row>
    <row r="43" spans="1:49" x14ac:dyDescent="0.3">
      <c r="A43" s="1" t="s">
        <v>32</v>
      </c>
      <c r="B43">
        <f t="shared" si="0"/>
        <v>63.809967396367014</v>
      </c>
      <c r="C43">
        <v>58.220773171867719</v>
      </c>
      <c r="D43">
        <v>60.549604098742428</v>
      </c>
      <c r="E43">
        <v>53.563111318118303</v>
      </c>
      <c r="F43">
        <v>60.549604098742428</v>
      </c>
      <c r="G43">
        <v>86.166744294364221</v>
      </c>
      <c r="H43">
        <f t="shared" si="1"/>
        <v>234.74615742897063</v>
      </c>
      <c r="I43">
        <v>167.67582673497904</v>
      </c>
      <c r="J43">
        <v>274.80204937121567</v>
      </c>
      <c r="K43">
        <v>284.11737307871448</v>
      </c>
      <c r="L43">
        <v>207.26595249184908</v>
      </c>
      <c r="M43">
        <v>239.86958546809501</v>
      </c>
      <c r="N43">
        <f t="shared" si="2"/>
        <v>225.89659990684677</v>
      </c>
      <c r="O43">
        <v>223.56776897997204</v>
      </c>
      <c r="P43">
        <v>302.74802049371215</v>
      </c>
      <c r="Q43">
        <v>209.59478341872381</v>
      </c>
      <c r="R43">
        <v>170.00465766185374</v>
      </c>
      <c r="S43">
        <v>223.56776897997204</v>
      </c>
      <c r="T43">
        <f t="shared" si="3"/>
        <v>43.316255239869584</v>
      </c>
      <c r="U43">
        <v>48.905449464368886</v>
      </c>
      <c r="V43">
        <v>60.549604098742428</v>
      </c>
      <c r="W43">
        <v>34.932463903120635</v>
      </c>
      <c r="X43">
        <v>30.274802049371214</v>
      </c>
      <c r="Y43">
        <v>41.91895668374476</v>
      </c>
      <c r="Z43">
        <f t="shared" si="4"/>
        <v>19.096413600372614</v>
      </c>
      <c r="AA43">
        <v>2.3288309268747089</v>
      </c>
      <c r="AB43">
        <v>16.301816488122963</v>
      </c>
      <c r="AC43">
        <v>27.945971122496506</v>
      </c>
      <c r="AD43">
        <v>16.301816488122963</v>
      </c>
      <c r="AE43">
        <v>32.603632976245926</v>
      </c>
      <c r="AF43">
        <f t="shared" si="5"/>
        <v>141.59292035398229</v>
      </c>
      <c r="AG43">
        <v>95.48206800186307</v>
      </c>
      <c r="AH43">
        <v>83.83791336748952</v>
      </c>
      <c r="AI43">
        <v>179.31998136935258</v>
      </c>
      <c r="AJ43">
        <v>128.08570097810897</v>
      </c>
      <c r="AK43">
        <v>221.23893805309734</v>
      </c>
      <c r="AL43">
        <f t="shared" si="6"/>
        <v>270.61015370284116</v>
      </c>
      <c r="AM43">
        <v>153.70284117373077</v>
      </c>
      <c r="AN43">
        <v>249.18490917559384</v>
      </c>
      <c r="AO43">
        <v>349.32463903120635</v>
      </c>
      <c r="AP43">
        <v>319.04983698183514</v>
      </c>
      <c r="AQ43">
        <v>281.78854215183975</v>
      </c>
      <c r="AR43">
        <f t="shared" si="7"/>
        <v>0</v>
      </c>
      <c r="AS43">
        <v>0</v>
      </c>
      <c r="AT43">
        <v>0</v>
      </c>
      <c r="AU43">
        <v>0</v>
      </c>
      <c r="AV43">
        <v>0</v>
      </c>
      <c r="AW4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1BE9-D6A8-4952-B153-20A807F73185}">
  <dimension ref="A1:AO43"/>
  <sheetViews>
    <sheetView zoomScale="78" workbookViewId="0">
      <selection activeCell="B2" sqref="B2"/>
    </sheetView>
  </sheetViews>
  <sheetFormatPr baseColWidth="10" defaultRowHeight="14.4" x14ac:dyDescent="0.3"/>
  <sheetData>
    <row r="1" spans="1:41" ht="50.4" x14ac:dyDescent="0.3"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66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80</v>
      </c>
      <c r="AB1" s="5" t="s">
        <v>81</v>
      </c>
      <c r="AC1" s="5" t="s">
        <v>82</v>
      </c>
      <c r="AD1" s="5" t="s">
        <v>83</v>
      </c>
      <c r="AE1" s="5" t="s">
        <v>84</v>
      </c>
      <c r="AF1" s="5" t="s">
        <v>86</v>
      </c>
      <c r="AG1" s="5" t="s">
        <v>87</v>
      </c>
      <c r="AH1" s="5" t="s">
        <v>88</v>
      </c>
      <c r="AI1" s="5" t="s">
        <v>89</v>
      </c>
      <c r="AJ1" s="5" t="s">
        <v>90</v>
      </c>
      <c r="AK1" s="5" t="s">
        <v>92</v>
      </c>
      <c r="AL1" s="5" t="s">
        <v>93</v>
      </c>
      <c r="AM1" s="5" t="s">
        <v>94</v>
      </c>
      <c r="AN1" s="5" t="s">
        <v>95</v>
      </c>
      <c r="AO1" s="5" t="s">
        <v>96</v>
      </c>
    </row>
    <row r="2" spans="1:41" x14ac:dyDescent="0.3">
      <c r="A2" s="1" t="s">
        <v>5</v>
      </c>
      <c r="B2">
        <v>46.73579413803369</v>
      </c>
      <c r="C2">
        <v>52.698334478345679</v>
      </c>
      <c r="D2">
        <v>43.228417467261927</v>
      </c>
      <c r="E2">
        <v>44.061419426570225</v>
      </c>
      <c r="F2">
        <v>41.650097965414638</v>
      </c>
      <c r="G2">
        <v>206.27759044976409</v>
      </c>
      <c r="H2">
        <v>214.16918795900054</v>
      </c>
      <c r="I2">
        <v>181.24368946213065</v>
      </c>
      <c r="J2">
        <v>201.93721181968402</v>
      </c>
      <c r="K2">
        <v>202.68252936222302</v>
      </c>
      <c r="L2">
        <v>225.48047772223947</v>
      </c>
      <c r="M2">
        <v>255.468548257338</v>
      </c>
      <c r="N2">
        <v>236.79176748547837</v>
      </c>
      <c r="O2">
        <v>231.09228039547426</v>
      </c>
      <c r="P2">
        <v>284.71130124989753</v>
      </c>
      <c r="Q2">
        <v>60.151509903735665</v>
      </c>
      <c r="R2">
        <v>63.395833324199543</v>
      </c>
      <c r="S2">
        <v>44.587525927185986</v>
      </c>
      <c r="T2">
        <v>51.032330559729097</v>
      </c>
      <c r="U2">
        <v>49.497853266266446</v>
      </c>
      <c r="V2">
        <v>26.086113988864959</v>
      </c>
      <c r="W2">
        <v>24.858532154094842</v>
      </c>
      <c r="X2">
        <v>15.388615143011092</v>
      </c>
      <c r="Y2">
        <v>20.518153524014789</v>
      </c>
      <c r="Z2">
        <v>20.737364565938027</v>
      </c>
      <c r="AA2">
        <v>108.99173004423241</v>
      </c>
      <c r="AB2">
        <v>183.9180641735941</v>
      </c>
      <c r="AC2">
        <v>203.64705794668527</v>
      </c>
      <c r="AD2">
        <v>142.44333504171806</v>
      </c>
      <c r="AE2">
        <v>104.47598258061377</v>
      </c>
      <c r="AF2">
        <v>1010.7821143080363</v>
      </c>
      <c r="AG2">
        <v>1267.5659288169138</v>
      </c>
      <c r="AH2">
        <v>1451.8785728659695</v>
      </c>
      <c r="AI2">
        <v>1375.1108659844529</v>
      </c>
      <c r="AJ2">
        <v>1300.447585105399</v>
      </c>
      <c r="AK2">
        <v>0.43842208384646986</v>
      </c>
      <c r="AL2">
        <v>0.43842208384646986</v>
      </c>
      <c r="AM2">
        <v>0.56994870900041084</v>
      </c>
      <c r="AN2">
        <v>0.92068637607758674</v>
      </c>
      <c r="AO2">
        <v>0.48226429223111689</v>
      </c>
    </row>
    <row r="3" spans="1:41" x14ac:dyDescent="0.3">
      <c r="A3" s="1" t="s">
        <v>39</v>
      </c>
      <c r="B3">
        <v>77.590463426677005</v>
      </c>
      <c r="C3">
        <v>91.697820413345553</v>
      </c>
      <c r="D3">
        <v>105.8051774000141</v>
      </c>
      <c r="E3">
        <v>134.01989137335119</v>
      </c>
      <c r="F3">
        <v>119.91253438668265</v>
      </c>
      <c r="G3">
        <v>183.39564082669111</v>
      </c>
      <c r="H3">
        <v>162.23460534668828</v>
      </c>
      <c r="I3">
        <v>225.71771178669675</v>
      </c>
      <c r="J3">
        <v>176.34196233335683</v>
      </c>
      <c r="K3">
        <v>218.66403329336248</v>
      </c>
      <c r="L3">
        <v>204.55667630669393</v>
      </c>
      <c r="M3">
        <v>183.39564082669111</v>
      </c>
      <c r="N3">
        <v>119.91253438668265</v>
      </c>
      <c r="O3">
        <v>141.07356986668546</v>
      </c>
      <c r="P3">
        <v>289.20081822670522</v>
      </c>
      <c r="Q3">
        <v>63.483106440008463</v>
      </c>
      <c r="R3">
        <v>70.53678493334273</v>
      </c>
      <c r="S3">
        <v>35.268392466671365</v>
      </c>
      <c r="T3">
        <v>70.53678493334273</v>
      </c>
      <c r="U3">
        <v>176.34196233335683</v>
      </c>
      <c r="V3">
        <v>14.107356986668547</v>
      </c>
      <c r="W3">
        <v>7.0536784933342735</v>
      </c>
      <c r="X3">
        <v>28.214713973337094</v>
      </c>
      <c r="Y3">
        <v>21.16103548000282</v>
      </c>
      <c r="Z3">
        <v>0</v>
      </c>
      <c r="AA3">
        <v>303.30817521337377</v>
      </c>
      <c r="AB3">
        <v>162.23460534668828</v>
      </c>
      <c r="AC3">
        <v>112.85885589334838</v>
      </c>
      <c r="AD3">
        <v>77.590463426677005</v>
      </c>
      <c r="AE3">
        <v>42.32207096000564</v>
      </c>
      <c r="AF3">
        <v>338.57656768004512</v>
      </c>
      <c r="AG3">
        <v>451.43542357339351</v>
      </c>
      <c r="AH3">
        <v>451.43542357339351</v>
      </c>
      <c r="AI3">
        <v>303.30817521337377</v>
      </c>
      <c r="AJ3">
        <v>387.95231713338507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s="1" t="s">
        <v>40</v>
      </c>
      <c r="B4">
        <v>48.081125972550048</v>
      </c>
      <c r="C4">
        <v>65.565171780750063</v>
      </c>
      <c r="D4">
        <v>39.339103068450036</v>
      </c>
      <c r="E4">
        <v>61.194160328700058</v>
      </c>
      <c r="F4">
        <v>61.194160328700058</v>
      </c>
      <c r="G4">
        <v>100.53326339715009</v>
      </c>
      <c r="H4">
        <v>100.53326339715009</v>
      </c>
      <c r="I4">
        <v>170.46944662995017</v>
      </c>
      <c r="J4">
        <v>118.01730920535012</v>
      </c>
      <c r="K4">
        <v>74.307194684850074</v>
      </c>
      <c r="L4">
        <v>113.6462977533001</v>
      </c>
      <c r="M4">
        <v>218.55057260250021</v>
      </c>
      <c r="N4">
        <v>157.35641227380015</v>
      </c>
      <c r="O4">
        <v>310.34181309555032</v>
      </c>
      <c r="P4">
        <v>249.14765276685023</v>
      </c>
      <c r="Q4">
        <v>61.194160328700058</v>
      </c>
      <c r="R4">
        <v>74.307194684850074</v>
      </c>
      <c r="S4">
        <v>65.565171780750063</v>
      </c>
      <c r="T4">
        <v>87.420229041000084</v>
      </c>
      <c r="U4">
        <v>39.339103068450036</v>
      </c>
      <c r="V4">
        <v>39.339103068450036</v>
      </c>
      <c r="W4">
        <v>4.3710114520500039</v>
      </c>
      <c r="X4">
        <v>13.113034356150013</v>
      </c>
      <c r="Y4">
        <v>17.484045808200015</v>
      </c>
      <c r="Z4">
        <v>26.226068712300027</v>
      </c>
      <c r="AA4">
        <v>113.6462977533001</v>
      </c>
      <c r="AB4">
        <v>83.049217588950086</v>
      </c>
      <c r="AC4">
        <v>152.98540082175015</v>
      </c>
      <c r="AD4">
        <v>83.049217588950086</v>
      </c>
      <c r="AE4">
        <v>131.13034356150013</v>
      </c>
      <c r="AF4">
        <v>192.32450389020019</v>
      </c>
      <c r="AG4">
        <v>244.77664131480023</v>
      </c>
      <c r="AH4">
        <v>275.37372147915028</v>
      </c>
      <c r="AI4">
        <v>253.51866421890023</v>
      </c>
      <c r="AJ4">
        <v>187.95349243815019</v>
      </c>
      <c r="AK4">
        <v>0</v>
      </c>
      <c r="AL4">
        <v>4.3710114520500039</v>
      </c>
      <c r="AM4">
        <v>0</v>
      </c>
      <c r="AN4">
        <v>0</v>
      </c>
      <c r="AO4">
        <v>0</v>
      </c>
    </row>
    <row r="5" spans="1:41" x14ac:dyDescent="0.3">
      <c r="A5" s="1" t="s">
        <v>33</v>
      </c>
      <c r="B5">
        <v>74.145896309815768</v>
      </c>
      <c r="C5">
        <v>68.442365824445332</v>
      </c>
      <c r="D5">
        <v>205.32709747333598</v>
      </c>
      <c r="E5">
        <v>245.25181087092909</v>
      </c>
      <c r="F5">
        <v>245.25181087092909</v>
      </c>
      <c r="G5">
        <v>85.552957280556654</v>
      </c>
      <c r="H5">
        <v>91.256487765927105</v>
      </c>
      <c r="I5">
        <v>193.92003650259508</v>
      </c>
      <c r="J5">
        <v>131.1812011635202</v>
      </c>
      <c r="K5">
        <v>159.69885359037244</v>
      </c>
      <c r="L5">
        <v>28.517652426852219</v>
      </c>
      <c r="M5">
        <v>68.442365824445332</v>
      </c>
      <c r="N5">
        <v>91.256487765927105</v>
      </c>
      <c r="O5">
        <v>91.256487765927105</v>
      </c>
      <c r="P5">
        <v>68.442365824445332</v>
      </c>
      <c r="Q5">
        <v>51.331774368333996</v>
      </c>
      <c r="R5">
        <v>22.814121941481776</v>
      </c>
      <c r="S5">
        <v>17.110591456111333</v>
      </c>
      <c r="T5">
        <v>51.331774368333996</v>
      </c>
      <c r="U5">
        <v>34.221182912222666</v>
      </c>
      <c r="V5">
        <v>17.110591456111333</v>
      </c>
      <c r="W5">
        <v>0</v>
      </c>
      <c r="X5">
        <v>28.517652426852219</v>
      </c>
      <c r="Y5">
        <v>11.407060970740888</v>
      </c>
      <c r="Z5">
        <v>17.110591456111333</v>
      </c>
      <c r="AA5">
        <v>68.442365824445332</v>
      </c>
      <c r="AB5">
        <v>102.66354873666799</v>
      </c>
      <c r="AC5">
        <v>85.552957280556654</v>
      </c>
      <c r="AD5">
        <v>34.221182912222666</v>
      </c>
      <c r="AE5">
        <v>62.738835339074882</v>
      </c>
      <c r="AF5">
        <v>125.47767067814976</v>
      </c>
      <c r="AG5">
        <v>176.80944504648377</v>
      </c>
      <c r="AH5">
        <v>233.84474990018819</v>
      </c>
      <c r="AI5">
        <v>216.73415844407685</v>
      </c>
      <c r="AJ5">
        <v>176.80944504648377</v>
      </c>
      <c r="AK5">
        <v>5.703530485370444</v>
      </c>
      <c r="AL5">
        <v>0</v>
      </c>
      <c r="AM5">
        <v>0</v>
      </c>
      <c r="AN5">
        <v>0</v>
      </c>
      <c r="AO5">
        <v>0</v>
      </c>
    </row>
    <row r="6" spans="1:41" x14ac:dyDescent="0.3">
      <c r="A6" s="1" t="s">
        <v>6</v>
      </c>
      <c r="B6">
        <v>38.153376573826783</v>
      </c>
      <c r="C6">
        <v>19.076688286913392</v>
      </c>
      <c r="D6">
        <v>0</v>
      </c>
      <c r="E6">
        <v>76.306753147653566</v>
      </c>
      <c r="F6">
        <v>95.383441434566961</v>
      </c>
      <c r="G6">
        <v>57.230064860740171</v>
      </c>
      <c r="H6">
        <v>95.383441434566961</v>
      </c>
      <c r="I6">
        <v>152.61350629530713</v>
      </c>
      <c r="J6">
        <v>152.61350629530713</v>
      </c>
      <c r="K6">
        <v>133.53681800839374</v>
      </c>
      <c r="L6">
        <v>190.76688286913392</v>
      </c>
      <c r="M6">
        <v>305.22701259061427</v>
      </c>
      <c r="N6">
        <v>114.46012972148034</v>
      </c>
      <c r="O6">
        <v>19.076688286913392</v>
      </c>
      <c r="P6">
        <v>76.306753147653566</v>
      </c>
      <c r="Q6">
        <v>38.153376573826783</v>
      </c>
      <c r="R6">
        <v>114.46012972148034</v>
      </c>
      <c r="S6">
        <v>19.076688286913392</v>
      </c>
      <c r="T6">
        <v>57.230064860740171</v>
      </c>
      <c r="U6">
        <v>38.153376573826783</v>
      </c>
      <c r="V6">
        <v>19.076688286913392</v>
      </c>
      <c r="W6">
        <v>0</v>
      </c>
      <c r="X6">
        <v>0</v>
      </c>
      <c r="Y6">
        <v>19.076688286913392</v>
      </c>
      <c r="Z6">
        <v>19.076688286913392</v>
      </c>
      <c r="AA6">
        <v>19.076688286913392</v>
      </c>
      <c r="AB6">
        <v>0</v>
      </c>
      <c r="AC6">
        <v>38.153376573826783</v>
      </c>
      <c r="AD6">
        <v>0</v>
      </c>
      <c r="AE6">
        <v>38.153376573826783</v>
      </c>
      <c r="AF6">
        <v>95.383441434566961</v>
      </c>
      <c r="AG6">
        <v>133.53681800839374</v>
      </c>
      <c r="AH6">
        <v>38.153376573826783</v>
      </c>
      <c r="AI6">
        <v>114.46012972148034</v>
      </c>
      <c r="AJ6">
        <v>76.306753147653566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3">
      <c r="A7" s="1" t="s">
        <v>41</v>
      </c>
      <c r="B7">
        <v>50.279680724027401</v>
      </c>
      <c r="C7">
        <v>37.70976054302055</v>
      </c>
      <c r="D7">
        <v>31.424800452517125</v>
      </c>
      <c r="E7">
        <v>31.424800452517125</v>
      </c>
      <c r="F7">
        <v>157.12400226258563</v>
      </c>
      <c r="G7">
        <v>100.5593614480548</v>
      </c>
      <c r="H7">
        <v>157.12400226258563</v>
      </c>
      <c r="I7">
        <v>169.69392244359247</v>
      </c>
      <c r="J7">
        <v>226.2585632581233</v>
      </c>
      <c r="K7">
        <v>169.69392244359247</v>
      </c>
      <c r="L7">
        <v>106.84432153855823</v>
      </c>
      <c r="M7">
        <v>119.41424171956508</v>
      </c>
      <c r="N7">
        <v>182.26384262459933</v>
      </c>
      <c r="O7">
        <v>270.2532838916473</v>
      </c>
      <c r="P7">
        <v>188.54880271510277</v>
      </c>
      <c r="Q7">
        <v>75.419521086041101</v>
      </c>
      <c r="R7">
        <v>69.134560995537683</v>
      </c>
      <c r="S7">
        <v>43.994720633523976</v>
      </c>
      <c r="T7">
        <v>56.564640814530826</v>
      </c>
      <c r="U7">
        <v>37.70976054302055</v>
      </c>
      <c r="V7">
        <v>6.2849600905034251</v>
      </c>
      <c r="W7">
        <v>0</v>
      </c>
      <c r="X7">
        <v>0</v>
      </c>
      <c r="Y7">
        <v>6.2849600905034251</v>
      </c>
      <c r="Z7">
        <v>31.424800452517125</v>
      </c>
      <c r="AA7">
        <v>69.134560995537683</v>
      </c>
      <c r="AB7">
        <v>25.1398403620137</v>
      </c>
      <c r="AC7">
        <v>150.8390421720822</v>
      </c>
      <c r="AD7">
        <v>207.40368298661303</v>
      </c>
      <c r="AE7">
        <v>119.41424171956508</v>
      </c>
      <c r="AF7">
        <v>56.564640814530826</v>
      </c>
      <c r="AG7">
        <v>87.989441267047951</v>
      </c>
      <c r="AH7">
        <v>188.54880271510277</v>
      </c>
      <c r="AI7">
        <v>138.26912199107537</v>
      </c>
      <c r="AJ7">
        <v>119.41424171956508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">
      <c r="A8" s="1" t="s">
        <v>34</v>
      </c>
      <c r="B8">
        <v>35.155173669725059</v>
      </c>
      <c r="C8">
        <v>61.125662326639066</v>
      </c>
      <c r="D8">
        <v>34.5217471171174</v>
      </c>
      <c r="E8">
        <v>43.073005577320792</v>
      </c>
      <c r="F8">
        <v>25.020348828002518</v>
      </c>
      <c r="G8">
        <v>83.295591667907118</v>
      </c>
      <c r="H8">
        <v>123.20146448218962</v>
      </c>
      <c r="I8">
        <v>102.61510152244071</v>
      </c>
      <c r="J8">
        <v>118.76747861393601</v>
      </c>
      <c r="K8">
        <v>72.210626997273096</v>
      </c>
      <c r="L8">
        <v>99.131255483098585</v>
      </c>
      <c r="M8">
        <v>75.377759760311392</v>
      </c>
      <c r="N8">
        <v>63.025941984462044</v>
      </c>
      <c r="O8">
        <v>73.160766826184584</v>
      </c>
      <c r="P8">
        <v>86.462724430945414</v>
      </c>
      <c r="Q8">
        <v>38.322306432763355</v>
      </c>
      <c r="R8">
        <v>33.571607288205911</v>
      </c>
      <c r="S8">
        <v>32.938180735598252</v>
      </c>
      <c r="T8">
        <v>36.105313498636548</v>
      </c>
      <c r="U8">
        <v>35.471886946028889</v>
      </c>
      <c r="V8">
        <v>31.988040906686766</v>
      </c>
      <c r="W8">
        <v>76.011186312919051</v>
      </c>
      <c r="X8">
        <v>81.39531201008414</v>
      </c>
      <c r="Y8">
        <v>50.040697656005037</v>
      </c>
      <c r="Z8">
        <v>49.723984379701207</v>
      </c>
      <c r="AA8">
        <v>66.826501300107992</v>
      </c>
      <c r="AB8">
        <v>161.52377091495296</v>
      </c>
      <c r="AC8">
        <v>250.2034882800252</v>
      </c>
      <c r="AD8">
        <v>162.79062402016828</v>
      </c>
      <c r="AE8">
        <v>121.61789810067047</v>
      </c>
      <c r="AF8">
        <v>322.73082855360212</v>
      </c>
      <c r="AG8">
        <v>402.54257418216713</v>
      </c>
      <c r="AH8">
        <v>363.58684119679612</v>
      </c>
      <c r="AI8">
        <v>378.47236518307608</v>
      </c>
      <c r="AJ8">
        <v>296.12691334408044</v>
      </c>
      <c r="AK8">
        <v>1.9002796578229761</v>
      </c>
      <c r="AL8">
        <v>2.5337062104306347</v>
      </c>
      <c r="AM8">
        <v>2.2169929341268055</v>
      </c>
      <c r="AN8">
        <v>2.2169929341268055</v>
      </c>
      <c r="AO8">
        <v>0</v>
      </c>
    </row>
    <row r="9" spans="1:41" x14ac:dyDescent="0.3">
      <c r="A9" s="1" t="s">
        <v>35</v>
      </c>
      <c r="B9">
        <v>45.954474433994058</v>
      </c>
      <c r="C9">
        <v>58.209000949725812</v>
      </c>
      <c r="D9">
        <v>68.165803743757849</v>
      </c>
      <c r="E9">
        <v>56.677185135259343</v>
      </c>
      <c r="F9">
        <v>65.102172114824924</v>
      </c>
      <c r="G9">
        <v>240.49508287123558</v>
      </c>
      <c r="H9">
        <v>235.13372752060295</v>
      </c>
      <c r="I9">
        <v>251.98370147973409</v>
      </c>
      <c r="J9">
        <v>314.02224196562605</v>
      </c>
      <c r="K9">
        <v>277.25866241843084</v>
      </c>
      <c r="L9">
        <v>250.45188566526764</v>
      </c>
      <c r="M9">
        <v>295.64045219202848</v>
      </c>
      <c r="N9">
        <v>267.30185962439879</v>
      </c>
      <c r="O9">
        <v>308.66088661499344</v>
      </c>
      <c r="P9">
        <v>336.23357127538986</v>
      </c>
      <c r="Q9">
        <v>52.84764559909317</v>
      </c>
      <c r="R9">
        <v>54.379461413559639</v>
      </c>
      <c r="S9">
        <v>45.188566526760823</v>
      </c>
      <c r="T9">
        <v>56.677185135259343</v>
      </c>
      <c r="U9">
        <v>64.336264207591682</v>
      </c>
      <c r="V9">
        <v>22.211329309763794</v>
      </c>
      <c r="W9">
        <v>11.488618608498514</v>
      </c>
      <c r="X9">
        <v>19.913605588064094</v>
      </c>
      <c r="Y9">
        <v>16.849973959131155</v>
      </c>
      <c r="Z9">
        <v>32.934040011029076</v>
      </c>
      <c r="AA9">
        <v>99.568027940320462</v>
      </c>
      <c r="AB9">
        <v>114.88618608498516</v>
      </c>
      <c r="AC9">
        <v>101.09984375478693</v>
      </c>
      <c r="AD9">
        <v>98.802120033087235</v>
      </c>
      <c r="AE9">
        <v>114.12027817775191</v>
      </c>
      <c r="AF9">
        <v>328.5744922030575</v>
      </c>
      <c r="AG9">
        <v>431.20615177231093</v>
      </c>
      <c r="AH9">
        <v>628.0444839312521</v>
      </c>
      <c r="AI9">
        <v>603.53543089978859</v>
      </c>
      <c r="AJ9">
        <v>543.02870622836315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 s="1" t="s">
        <v>36</v>
      </c>
      <c r="B10">
        <v>64.589052155659616</v>
      </c>
      <c r="C10">
        <v>44.404973357015983</v>
      </c>
      <c r="D10">
        <v>48.441789116744715</v>
      </c>
      <c r="E10">
        <v>92.846762473760705</v>
      </c>
      <c r="F10">
        <v>48.441789116744715</v>
      </c>
      <c r="G10">
        <v>193.76715646697886</v>
      </c>
      <c r="H10">
        <v>129.17810431131923</v>
      </c>
      <c r="I10">
        <v>278.54028742128207</v>
      </c>
      <c r="J10">
        <v>169.54626190860648</v>
      </c>
      <c r="K10">
        <v>185.69352494752141</v>
      </c>
      <c r="L10">
        <v>92.846762473760705</v>
      </c>
      <c r="M10">
        <v>149.36218310996287</v>
      </c>
      <c r="N10">
        <v>121.10447279186178</v>
      </c>
      <c r="O10">
        <v>141.28855159050542</v>
      </c>
      <c r="P10">
        <v>201.84078798643631</v>
      </c>
      <c r="Q10">
        <v>56.515420636202165</v>
      </c>
      <c r="R10">
        <v>44.404973357015983</v>
      </c>
      <c r="S10">
        <v>52.47860487647344</v>
      </c>
      <c r="T10">
        <v>68.625867915388341</v>
      </c>
      <c r="U10">
        <v>60.55223639593089</v>
      </c>
      <c r="V10">
        <v>32.294526077829808</v>
      </c>
      <c r="W10">
        <v>8.0736315194574519</v>
      </c>
      <c r="X10">
        <v>20.184078798643629</v>
      </c>
      <c r="Y10">
        <v>24.220894558372358</v>
      </c>
      <c r="Z10">
        <v>40.368157597287258</v>
      </c>
      <c r="AA10">
        <v>149.36218310996287</v>
      </c>
      <c r="AB10">
        <v>153.39899886969158</v>
      </c>
      <c r="AC10">
        <v>262.39302438236717</v>
      </c>
      <c r="AD10">
        <v>234.13531406426611</v>
      </c>
      <c r="AE10">
        <v>185.69352494752141</v>
      </c>
      <c r="AF10">
        <v>177.61989342806393</v>
      </c>
      <c r="AG10">
        <v>335.05570805748425</v>
      </c>
      <c r="AH10">
        <v>387.53431293395772</v>
      </c>
      <c r="AI10">
        <v>331.01889229775554</v>
      </c>
      <c r="AJ10">
        <v>322.94526077829806</v>
      </c>
      <c r="AK10">
        <v>0</v>
      </c>
      <c r="AL10">
        <v>8.0736315194574519</v>
      </c>
      <c r="AM10">
        <v>0</v>
      </c>
      <c r="AN10">
        <v>0</v>
      </c>
      <c r="AO10">
        <v>8.0736315194574519</v>
      </c>
    </row>
    <row r="11" spans="1:41" x14ac:dyDescent="0.3">
      <c r="A11" s="1" t="s">
        <v>7</v>
      </c>
      <c r="B11">
        <v>58.866304234911183</v>
      </c>
      <c r="C11">
        <v>62.329028013435369</v>
      </c>
      <c r="D11">
        <v>55.403580456386997</v>
      </c>
      <c r="E11">
        <v>83.105370684580492</v>
      </c>
      <c r="F11">
        <v>55.403580456386997</v>
      </c>
      <c r="G11">
        <v>221.61432182554799</v>
      </c>
      <c r="H11">
        <v>238.92794071816891</v>
      </c>
      <c r="I11">
        <v>349.73510163094289</v>
      </c>
      <c r="J11">
        <v>252.77883583226566</v>
      </c>
      <c r="K11">
        <v>252.77883583226566</v>
      </c>
      <c r="L11">
        <v>197.37525537587868</v>
      </c>
      <c r="M11">
        <v>114.26988469129817</v>
      </c>
      <c r="N11">
        <v>128.12077980539493</v>
      </c>
      <c r="O11">
        <v>128.12077980539493</v>
      </c>
      <c r="P11">
        <v>155.82257003358842</v>
      </c>
      <c r="Q11">
        <v>51.940856677862811</v>
      </c>
      <c r="R11">
        <v>76.17992312753212</v>
      </c>
      <c r="S11">
        <v>38.08996156376606</v>
      </c>
      <c r="T11">
        <v>13.850895114096749</v>
      </c>
      <c r="U11">
        <v>24.239066449669309</v>
      </c>
      <c r="V11">
        <v>13.850895114096749</v>
      </c>
      <c r="W11">
        <v>6.9254475570483747</v>
      </c>
      <c r="X11">
        <v>10.388171335572562</v>
      </c>
      <c r="Y11">
        <v>6.9254475570483747</v>
      </c>
      <c r="Z11">
        <v>6.9254475570483747</v>
      </c>
      <c r="AA11">
        <v>58.866304234911183</v>
      </c>
      <c r="AB11">
        <v>41.552685342290246</v>
      </c>
      <c r="AC11">
        <v>110.80716091277399</v>
      </c>
      <c r="AD11">
        <v>96.956265798677236</v>
      </c>
      <c r="AE11">
        <v>96.956265798677236</v>
      </c>
      <c r="AF11">
        <v>214.6888742684996</v>
      </c>
      <c r="AG11">
        <v>301.25696873160427</v>
      </c>
      <c r="AH11">
        <v>394.75051075175736</v>
      </c>
      <c r="AI11">
        <v>367.04872052356387</v>
      </c>
      <c r="AJ11">
        <v>294.33152117455592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s="1" t="s">
        <v>102</v>
      </c>
      <c r="B12">
        <v>32.441200324412002</v>
      </c>
      <c r="C12">
        <v>43.254933765882669</v>
      </c>
      <c r="D12">
        <v>27.034333603676668</v>
      </c>
      <c r="E12">
        <v>32.441200324412002</v>
      </c>
      <c r="F12">
        <v>27.034333603676668</v>
      </c>
      <c r="G12">
        <v>162.20600162206</v>
      </c>
      <c r="H12">
        <v>216.27466882941334</v>
      </c>
      <c r="I12">
        <v>243.30900243309003</v>
      </c>
      <c r="J12">
        <v>286.56393619897267</v>
      </c>
      <c r="K12">
        <v>254.12273587456068</v>
      </c>
      <c r="L12">
        <v>118.95106785617735</v>
      </c>
      <c r="M12">
        <v>189.24033522573669</v>
      </c>
      <c r="N12">
        <v>162.20600162206</v>
      </c>
      <c r="O12">
        <v>178.42660178426601</v>
      </c>
      <c r="P12">
        <v>237.90213571235469</v>
      </c>
      <c r="Q12">
        <v>75.696134090294677</v>
      </c>
      <c r="R12">
        <v>59.475533928088673</v>
      </c>
      <c r="S12">
        <v>75.696134090294677</v>
      </c>
      <c r="T12">
        <v>37.848067045147339</v>
      </c>
      <c r="U12">
        <v>70.28926736955934</v>
      </c>
      <c r="V12">
        <v>27.034333603676668</v>
      </c>
      <c r="W12">
        <v>0</v>
      </c>
      <c r="X12">
        <v>21.627466882941334</v>
      </c>
      <c r="Y12">
        <v>27.034333603676668</v>
      </c>
      <c r="Z12">
        <v>21.627466882941334</v>
      </c>
      <c r="AA12">
        <v>113.54420113544201</v>
      </c>
      <c r="AB12">
        <v>54.068667207353336</v>
      </c>
      <c r="AC12">
        <v>48.661800486618006</v>
      </c>
      <c r="AD12">
        <v>178.42660178426601</v>
      </c>
      <c r="AE12">
        <v>102.73046769397135</v>
      </c>
      <c r="AF12">
        <v>281.15706947823736</v>
      </c>
      <c r="AG12">
        <v>464.99053798323871</v>
      </c>
      <c r="AH12">
        <v>616.38280616382804</v>
      </c>
      <c r="AI12">
        <v>567.72100567721009</v>
      </c>
      <c r="AJ12">
        <v>421.73560421735601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s="1" t="s">
        <v>9</v>
      </c>
      <c r="B13">
        <v>80.701791160533674</v>
      </c>
      <c r="C13">
        <v>60.788362172869526</v>
      </c>
      <c r="D13">
        <v>68.124888642008955</v>
      </c>
      <c r="E13">
        <v>55.547986123484222</v>
      </c>
      <c r="F13">
        <v>59.740286962992464</v>
      </c>
      <c r="G13">
        <v>158.25935669143618</v>
      </c>
      <c r="H13">
        <v>200.18236508651862</v>
      </c>
      <c r="I13">
        <v>310.23026212360998</v>
      </c>
      <c r="J13">
        <v>313.37448775324117</v>
      </c>
      <c r="K13">
        <v>260.97072725938813</v>
      </c>
      <c r="L13">
        <v>253.63420079024871</v>
      </c>
      <c r="M13">
        <v>322.80716464213469</v>
      </c>
      <c r="N13">
        <v>278.78800582729815</v>
      </c>
      <c r="O13">
        <v>274.59570498778993</v>
      </c>
      <c r="P13">
        <v>276.69185540754404</v>
      </c>
      <c r="Q13">
        <v>48.211459654344793</v>
      </c>
      <c r="R13">
        <v>77.557565530902494</v>
      </c>
      <c r="S13">
        <v>59.740286962992464</v>
      </c>
      <c r="T13">
        <v>62.884512592623643</v>
      </c>
      <c r="U13">
        <v>78.605640740779549</v>
      </c>
      <c r="V13">
        <v>14.67305293827885</v>
      </c>
      <c r="W13">
        <v>13.62497772840179</v>
      </c>
      <c r="X13">
        <v>17.817278567910034</v>
      </c>
      <c r="Y13">
        <v>15.721128148155911</v>
      </c>
      <c r="Z13">
        <v>18.865353777787092</v>
      </c>
      <c r="AA13">
        <v>113.19212266672255</v>
      </c>
      <c r="AB13">
        <v>164.54780795069854</v>
      </c>
      <c r="AC13">
        <v>136.24977728401791</v>
      </c>
      <c r="AD13">
        <v>163.49973274082149</v>
      </c>
      <c r="AE13">
        <v>178.17278567910031</v>
      </c>
      <c r="AF13">
        <v>520.89337930889917</v>
      </c>
      <c r="AG13">
        <v>638.27780281513003</v>
      </c>
      <c r="AH13">
        <v>800.72946034607446</v>
      </c>
      <c r="AI13">
        <v>768.23912883988555</v>
      </c>
      <c r="AJ13">
        <v>877.23895066709986</v>
      </c>
      <c r="AK13">
        <v>2.0961504197541214</v>
      </c>
      <c r="AL13">
        <v>0</v>
      </c>
      <c r="AM13">
        <v>0</v>
      </c>
      <c r="AN13">
        <v>2.0961504197541214</v>
      </c>
      <c r="AO13">
        <v>1.0480752098770607</v>
      </c>
    </row>
    <row r="14" spans="1:41" x14ac:dyDescent="0.3">
      <c r="A14" s="1" t="s">
        <v>10</v>
      </c>
      <c r="B14">
        <v>28.052306762763799</v>
      </c>
      <c r="C14">
        <v>50.350294189576047</v>
      </c>
      <c r="D14">
        <v>78.402600952339853</v>
      </c>
      <c r="E14">
        <v>78.402600952339853</v>
      </c>
      <c r="F14">
        <v>76.964021118351965</v>
      </c>
      <c r="G14">
        <v>102.13916821313998</v>
      </c>
      <c r="H14">
        <v>169.75242041057066</v>
      </c>
      <c r="I14">
        <v>202.83975659229208</v>
      </c>
      <c r="J14">
        <v>189.89253808640109</v>
      </c>
      <c r="K14">
        <v>158.96307165566154</v>
      </c>
      <c r="L14">
        <v>194.20827758836475</v>
      </c>
      <c r="M14">
        <v>209.31336584523757</v>
      </c>
      <c r="N14">
        <v>150.33159265173421</v>
      </c>
      <c r="O14">
        <v>162.55952124063126</v>
      </c>
      <c r="P14">
        <v>181.26105908247376</v>
      </c>
      <c r="Q14">
        <v>62.578222778473091</v>
      </c>
      <c r="R14">
        <v>81.279760620315628</v>
      </c>
      <c r="S14">
        <v>36.683785766691123</v>
      </c>
      <c r="T14">
        <v>25.175147094788024</v>
      </c>
      <c r="U14">
        <v>50.350294189576047</v>
      </c>
      <c r="V14">
        <v>20.859407592824365</v>
      </c>
      <c r="W14">
        <v>12.22792858889704</v>
      </c>
      <c r="X14">
        <v>21.578697509818305</v>
      </c>
      <c r="Y14">
        <v>17.98224792484859</v>
      </c>
      <c r="Z14">
        <v>17.98224792484859</v>
      </c>
      <c r="AA14">
        <v>33.087336181721405</v>
      </c>
      <c r="AB14">
        <v>42.438105102642666</v>
      </c>
      <c r="AC14">
        <v>40.999525268654786</v>
      </c>
      <c r="AD14">
        <v>59.701063110497316</v>
      </c>
      <c r="AE14">
        <v>64.016802612460978</v>
      </c>
      <c r="AF14">
        <v>279.80377771064406</v>
      </c>
      <c r="AG14">
        <v>340.94342065512922</v>
      </c>
      <c r="AH14">
        <v>409.99525268654781</v>
      </c>
      <c r="AI14">
        <v>466.09986621207543</v>
      </c>
      <c r="AJ14">
        <v>433.01253003035401</v>
      </c>
      <c r="AK14">
        <v>0</v>
      </c>
      <c r="AL14">
        <v>0</v>
      </c>
      <c r="AM14">
        <v>0.71928991699394351</v>
      </c>
      <c r="AN14">
        <v>0</v>
      </c>
      <c r="AO14">
        <v>0.71928991699394351</v>
      </c>
    </row>
    <row r="15" spans="1:41" x14ac:dyDescent="0.3">
      <c r="A15" s="1" t="s">
        <v>11</v>
      </c>
      <c r="B15">
        <v>22.163567125385345</v>
      </c>
      <c r="C15">
        <v>32.237915818742323</v>
      </c>
      <c r="D15">
        <v>50.371743466784878</v>
      </c>
      <c r="E15">
        <v>48.356873728113477</v>
      </c>
      <c r="F15">
        <v>42.312264512099297</v>
      </c>
      <c r="G15">
        <v>132.98140275231208</v>
      </c>
      <c r="H15">
        <v>193.42749491245391</v>
      </c>
      <c r="I15">
        <v>171.26392778706858</v>
      </c>
      <c r="J15">
        <v>205.5167133444823</v>
      </c>
      <c r="K15">
        <v>229.69515020853902</v>
      </c>
      <c r="L15">
        <v>159.17470935504019</v>
      </c>
      <c r="M15">
        <v>199.47210412846812</v>
      </c>
      <c r="N15">
        <v>128.95166327496929</v>
      </c>
      <c r="O15">
        <v>110.81783562692672</v>
      </c>
      <c r="P15">
        <v>110.81783562692672</v>
      </c>
      <c r="Q15">
        <v>78.5799198081844</v>
      </c>
      <c r="R15">
        <v>60.446092160141852</v>
      </c>
      <c r="S15">
        <v>66.490701376156039</v>
      </c>
      <c r="T15">
        <v>52.386613205456271</v>
      </c>
      <c r="U15">
        <v>52.386613205456271</v>
      </c>
      <c r="V15">
        <v>6.0446092160141847</v>
      </c>
      <c r="W15">
        <v>22.163567125385345</v>
      </c>
      <c r="X15">
        <v>32.237915818742323</v>
      </c>
      <c r="Y15">
        <v>30.223046080070926</v>
      </c>
      <c r="Z15">
        <v>46.342003989442084</v>
      </c>
      <c r="AA15">
        <v>118.87731458161231</v>
      </c>
      <c r="AB15">
        <v>161.18957909371159</v>
      </c>
      <c r="AC15">
        <v>207.53158308315369</v>
      </c>
      <c r="AD15">
        <v>139.02601196832626</v>
      </c>
      <c r="AE15">
        <v>137.01114222965487</v>
      </c>
      <c r="AF15">
        <v>173.27879752573998</v>
      </c>
      <c r="AG15">
        <v>225.66541073119623</v>
      </c>
      <c r="AH15">
        <v>276.03715419798112</v>
      </c>
      <c r="AI15">
        <v>304.24533053938063</v>
      </c>
      <c r="AJ15">
        <v>233.72488968588183</v>
      </c>
      <c r="AK15">
        <v>0</v>
      </c>
      <c r="AL15">
        <v>2.0148697386713952</v>
      </c>
      <c r="AM15">
        <v>2.0148697386713952</v>
      </c>
      <c r="AN15">
        <v>0</v>
      </c>
      <c r="AO15">
        <v>0</v>
      </c>
    </row>
    <row r="16" spans="1:41" x14ac:dyDescent="0.3">
      <c r="A16" s="1" t="s">
        <v>42</v>
      </c>
      <c r="B16">
        <v>80.738177623990779</v>
      </c>
      <c r="C16">
        <v>46.136101499423297</v>
      </c>
      <c r="D16">
        <v>299.88465974625143</v>
      </c>
      <c r="E16">
        <v>103.80622837370242</v>
      </c>
      <c r="F16">
        <v>173.01038062283737</v>
      </c>
      <c r="G16">
        <v>69.20415224913495</v>
      </c>
      <c r="H16">
        <v>69.20415224913495</v>
      </c>
      <c r="I16">
        <v>103.80622837370242</v>
      </c>
      <c r="J16">
        <v>103.80622837370242</v>
      </c>
      <c r="K16">
        <v>161.47635524798156</v>
      </c>
      <c r="L16">
        <v>11.534025374855824</v>
      </c>
      <c r="M16">
        <v>57.670126874279127</v>
      </c>
      <c r="N16">
        <v>57.670126874279127</v>
      </c>
      <c r="O16">
        <v>69.20415224913495</v>
      </c>
      <c r="P16">
        <v>57.670126874279127</v>
      </c>
      <c r="Q16">
        <v>23.068050749711649</v>
      </c>
      <c r="R16">
        <v>92.272202998846595</v>
      </c>
      <c r="S16">
        <v>11.534025374855824</v>
      </c>
      <c r="T16">
        <v>80.738177623990779</v>
      </c>
      <c r="U16">
        <v>80.738177623990779</v>
      </c>
      <c r="V16">
        <v>0</v>
      </c>
      <c r="W16">
        <v>11.534025374855824</v>
      </c>
      <c r="X16">
        <v>34.602076124567475</v>
      </c>
      <c r="Y16">
        <v>23.068050749711649</v>
      </c>
      <c r="Z16">
        <v>0</v>
      </c>
      <c r="AA16">
        <v>11.534025374855824</v>
      </c>
      <c r="AB16">
        <v>0</v>
      </c>
      <c r="AC16">
        <v>46.136101499423297</v>
      </c>
      <c r="AD16">
        <v>80.738177623990779</v>
      </c>
      <c r="AE16">
        <v>11.534025374855824</v>
      </c>
      <c r="AF16">
        <v>34.602076124567475</v>
      </c>
      <c r="AG16">
        <v>23.068050749711649</v>
      </c>
      <c r="AH16">
        <v>57.670126874279127</v>
      </c>
      <c r="AI16">
        <v>80.738177623990779</v>
      </c>
      <c r="AJ16">
        <v>92.272202998846595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s="1" t="s">
        <v>12</v>
      </c>
      <c r="B17">
        <v>151.79113539769278</v>
      </c>
      <c r="C17">
        <v>75.895567698846392</v>
      </c>
      <c r="D17">
        <v>91.074681238615668</v>
      </c>
      <c r="E17">
        <v>106.25379477838496</v>
      </c>
      <c r="F17">
        <v>60.716454159077117</v>
      </c>
      <c r="G17">
        <v>75.895567698846392</v>
      </c>
      <c r="H17">
        <v>106.25379477838496</v>
      </c>
      <c r="I17">
        <v>30.358227079538558</v>
      </c>
      <c r="J17">
        <v>91.074681238615668</v>
      </c>
      <c r="K17">
        <v>106.25379477838496</v>
      </c>
      <c r="L17">
        <v>182.14936247723134</v>
      </c>
      <c r="M17">
        <v>166.97024893746206</v>
      </c>
      <c r="N17">
        <v>106.25379477838496</v>
      </c>
      <c r="O17">
        <v>136.61202185792351</v>
      </c>
      <c r="P17">
        <v>121.43290831815423</v>
      </c>
      <c r="Q17">
        <v>121.43290831815423</v>
      </c>
      <c r="R17">
        <v>136.61202185792351</v>
      </c>
      <c r="S17">
        <v>60.716454159077117</v>
      </c>
      <c r="T17">
        <v>45.537340619307834</v>
      </c>
      <c r="U17">
        <v>106.25379477838496</v>
      </c>
      <c r="V17">
        <v>0</v>
      </c>
      <c r="W17">
        <v>0</v>
      </c>
      <c r="X17">
        <v>30.358227079538558</v>
      </c>
      <c r="Y17">
        <v>0</v>
      </c>
      <c r="Z17">
        <v>15.179113539769279</v>
      </c>
      <c r="AA17">
        <v>60.716454159077117</v>
      </c>
      <c r="AB17">
        <v>15.179113539769279</v>
      </c>
      <c r="AC17">
        <v>15.179113539769279</v>
      </c>
      <c r="AD17">
        <v>45.537340619307834</v>
      </c>
      <c r="AE17">
        <v>0</v>
      </c>
      <c r="AF17">
        <v>151.79113539769278</v>
      </c>
      <c r="AG17">
        <v>75.895567698846392</v>
      </c>
      <c r="AH17">
        <v>30.358227079538558</v>
      </c>
      <c r="AI17">
        <v>45.537340619307834</v>
      </c>
      <c r="AJ17">
        <v>75.895567698846392</v>
      </c>
      <c r="AK17">
        <v>0</v>
      </c>
      <c r="AL17">
        <v>0</v>
      </c>
      <c r="AM17">
        <v>0</v>
      </c>
      <c r="AN17">
        <v>0</v>
      </c>
      <c r="AO17">
        <v>15.179113539769279</v>
      </c>
    </row>
    <row r="18" spans="1:41" x14ac:dyDescent="0.3">
      <c r="A18" s="1" t="s">
        <v>13</v>
      </c>
      <c r="B18">
        <v>44.943043335465248</v>
      </c>
      <c r="C18">
        <v>55.314514874418769</v>
      </c>
      <c r="D18">
        <v>48.400200515116424</v>
      </c>
      <c r="E18">
        <v>44.943043335465248</v>
      </c>
      <c r="F18">
        <v>57.043093464244357</v>
      </c>
      <c r="G18">
        <v>165.94354462325632</v>
      </c>
      <c r="H18">
        <v>190.14364488081452</v>
      </c>
      <c r="I18">
        <v>197.05795924011687</v>
      </c>
      <c r="J18">
        <v>127.91481564709341</v>
      </c>
      <c r="K18">
        <v>219.52948090784949</v>
      </c>
      <c r="L18">
        <v>124.45765846744223</v>
      </c>
      <c r="M18">
        <v>160.75780885377955</v>
      </c>
      <c r="N18">
        <v>115.8147655183143</v>
      </c>
      <c r="O18">
        <v>153.8434944944772</v>
      </c>
      <c r="P18">
        <v>140.01486577587249</v>
      </c>
      <c r="Q18">
        <v>32.842993206686145</v>
      </c>
      <c r="R18">
        <v>48.400200515116424</v>
      </c>
      <c r="S18">
        <v>46.671621925290836</v>
      </c>
      <c r="T18">
        <v>44.943043335465248</v>
      </c>
      <c r="U18">
        <v>60.500250643895527</v>
      </c>
      <c r="V18">
        <v>8.6428929491279334</v>
      </c>
      <c r="W18">
        <v>15.557207308430279</v>
      </c>
      <c r="X18">
        <v>8.6428929491279334</v>
      </c>
      <c r="Y18">
        <v>19.014364488081451</v>
      </c>
      <c r="Z18">
        <v>29.385836027034969</v>
      </c>
      <c r="AA18">
        <v>82.971772311628158</v>
      </c>
      <c r="AB18">
        <v>164.21496603343073</v>
      </c>
      <c r="AC18">
        <v>126.18623705726782</v>
      </c>
      <c r="AD18">
        <v>122.72907987761664</v>
      </c>
      <c r="AE18">
        <v>152.11491590465161</v>
      </c>
      <c r="AF18">
        <v>267.92968142296593</v>
      </c>
      <c r="AG18">
        <v>497.83063386976892</v>
      </c>
      <c r="AH18">
        <v>494.37347669011774</v>
      </c>
      <c r="AI18">
        <v>549.68799156453656</v>
      </c>
      <c r="AJ18">
        <v>615.37397797790879</v>
      </c>
      <c r="AK18">
        <v>0</v>
      </c>
      <c r="AL18">
        <v>0</v>
      </c>
      <c r="AM18">
        <v>0</v>
      </c>
      <c r="AN18">
        <v>0</v>
      </c>
      <c r="AO18">
        <v>1.7285785898255865</v>
      </c>
    </row>
    <row r="19" spans="1:41" x14ac:dyDescent="0.3">
      <c r="A19" s="1" t="s">
        <v>14</v>
      </c>
      <c r="B19">
        <v>183.40210912425493</v>
      </c>
      <c r="C19">
        <v>57.313159101329667</v>
      </c>
      <c r="D19">
        <v>34.3878954607978</v>
      </c>
      <c r="E19">
        <v>34.3878954607978</v>
      </c>
      <c r="F19">
        <v>80.238422741861527</v>
      </c>
      <c r="G19">
        <v>103.16368638239339</v>
      </c>
      <c r="H19">
        <v>45.850527281063734</v>
      </c>
      <c r="I19">
        <v>183.40210912425493</v>
      </c>
      <c r="J19">
        <v>149.01421366345713</v>
      </c>
      <c r="K19">
        <v>68.7757909215956</v>
      </c>
      <c r="L19">
        <v>126.08895002292526</v>
      </c>
      <c r="M19">
        <v>183.40210912425493</v>
      </c>
      <c r="N19">
        <v>103.16368638239339</v>
      </c>
      <c r="O19">
        <v>320.95369096744611</v>
      </c>
      <c r="P19">
        <v>298.02842732691425</v>
      </c>
      <c r="Q19">
        <v>22.925263640531867</v>
      </c>
      <c r="R19">
        <v>45.850527281063734</v>
      </c>
      <c r="S19">
        <v>57.313159101329667</v>
      </c>
      <c r="T19">
        <v>114.62631820265933</v>
      </c>
      <c r="U19">
        <v>57.313159101329667</v>
      </c>
      <c r="V19">
        <v>0</v>
      </c>
      <c r="W19">
        <v>22.925263640531867</v>
      </c>
      <c r="X19">
        <v>22.925263640531867</v>
      </c>
      <c r="Y19">
        <v>0</v>
      </c>
      <c r="Z19">
        <v>22.925263640531867</v>
      </c>
      <c r="AA19">
        <v>57.313159101329667</v>
      </c>
      <c r="AB19">
        <v>34.3878954607978</v>
      </c>
      <c r="AC19">
        <v>34.3878954607978</v>
      </c>
      <c r="AD19">
        <v>57.313159101329667</v>
      </c>
      <c r="AE19">
        <v>114.62631820265933</v>
      </c>
      <c r="AF19">
        <v>57.313159101329667</v>
      </c>
      <c r="AG19">
        <v>68.7757909215956</v>
      </c>
      <c r="AH19">
        <v>137.5515818431912</v>
      </c>
      <c r="AI19">
        <v>91.701054562127467</v>
      </c>
      <c r="AJ19">
        <v>103.16368638239339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 s="1" t="s">
        <v>15</v>
      </c>
      <c r="B20">
        <v>52.820801172281001</v>
      </c>
      <c r="C20">
        <v>51.116904360271938</v>
      </c>
      <c r="D20">
        <v>71.563666104380715</v>
      </c>
      <c r="E20">
        <v>64.748078856344463</v>
      </c>
      <c r="F20">
        <v>88.602634224471359</v>
      </c>
      <c r="G20">
        <v>187.42864932099712</v>
      </c>
      <c r="H20">
        <v>195.94813338104242</v>
      </c>
      <c r="I20">
        <v>175.50137163693367</v>
      </c>
      <c r="J20">
        <v>204.46761744108775</v>
      </c>
      <c r="K20">
        <v>241.9533473052872</v>
      </c>
      <c r="L20">
        <v>66.451975668353526</v>
      </c>
      <c r="M20">
        <v>115.86498321661639</v>
      </c>
      <c r="N20">
        <v>105.641602344562</v>
      </c>
      <c r="O20">
        <v>52.820801172281001</v>
      </c>
      <c r="P20">
        <v>80.083150164426044</v>
      </c>
      <c r="Q20">
        <v>23.854555368126906</v>
      </c>
      <c r="R20">
        <v>18.74286493209971</v>
      </c>
      <c r="S20">
        <v>39.189626676208491</v>
      </c>
      <c r="T20">
        <v>25.558452180135969</v>
      </c>
      <c r="U20">
        <v>47.709110736253812</v>
      </c>
      <c r="V20">
        <v>6.8155872480362589</v>
      </c>
      <c r="W20">
        <v>17.038968120090647</v>
      </c>
      <c r="X20">
        <v>10.223380872054388</v>
      </c>
      <c r="Y20">
        <v>37.485729864199421</v>
      </c>
      <c r="Z20">
        <v>35.781833052190358</v>
      </c>
      <c r="AA20">
        <v>92.010427848489485</v>
      </c>
      <c r="AB20">
        <v>255.5845218013597</v>
      </c>
      <c r="AC20">
        <v>211.28320468912401</v>
      </c>
      <c r="AD20">
        <v>313.51701340966792</v>
      </c>
      <c r="AE20">
        <v>182.31695888496992</v>
      </c>
      <c r="AF20">
        <v>320.33260065770418</v>
      </c>
      <c r="AG20">
        <v>415.75082213021176</v>
      </c>
      <c r="AH20">
        <v>497.53786910664689</v>
      </c>
      <c r="AI20">
        <v>574.21322564705474</v>
      </c>
      <c r="AJ20">
        <v>604.8833682632179</v>
      </c>
      <c r="AK20">
        <v>0</v>
      </c>
      <c r="AL20">
        <v>0</v>
      </c>
      <c r="AM20">
        <v>1.7038968120090647</v>
      </c>
      <c r="AN20">
        <v>0</v>
      </c>
      <c r="AO20">
        <v>1.7038968120090647</v>
      </c>
    </row>
    <row r="21" spans="1:41" x14ac:dyDescent="0.3">
      <c r="A21" s="1" t="s">
        <v>16</v>
      </c>
      <c r="B21">
        <v>4.284490145672665</v>
      </c>
      <c r="C21">
        <v>21.422450728363327</v>
      </c>
      <c r="D21">
        <v>8.5689802913453299</v>
      </c>
      <c r="E21">
        <v>29.991431019708656</v>
      </c>
      <c r="F21">
        <v>12.853470437017995</v>
      </c>
      <c r="G21">
        <v>184.2330762639246</v>
      </c>
      <c r="H21">
        <v>235.64695801199659</v>
      </c>
      <c r="I21">
        <v>304.19880034275923</v>
      </c>
      <c r="J21">
        <v>321.33676092544988</v>
      </c>
      <c r="K21">
        <v>257.0694087403599</v>
      </c>
      <c r="L21">
        <v>141.38817480719794</v>
      </c>
      <c r="M21">
        <v>269.92287917737792</v>
      </c>
      <c r="N21">
        <v>132.81919451585262</v>
      </c>
      <c r="O21">
        <v>124.25021422450729</v>
      </c>
      <c r="P21">
        <v>124.25021422450729</v>
      </c>
      <c r="Q21">
        <v>21.422450728363327</v>
      </c>
      <c r="R21">
        <v>38.560411311053983</v>
      </c>
      <c r="S21">
        <v>59.982862039417313</v>
      </c>
      <c r="T21">
        <v>29.991431019708656</v>
      </c>
      <c r="U21">
        <v>68.551842330762639</v>
      </c>
      <c r="V21">
        <v>17.13796058269066</v>
      </c>
      <c r="W21">
        <v>25.70694087403599</v>
      </c>
      <c r="X21">
        <v>42.844901456726653</v>
      </c>
      <c r="Y21">
        <v>85.689802913453306</v>
      </c>
      <c r="Z21">
        <v>34.27592116538132</v>
      </c>
      <c r="AA21">
        <v>55.698371893744643</v>
      </c>
      <c r="AB21">
        <v>72.836332476435302</v>
      </c>
      <c r="AC21">
        <v>107.11225364181662</v>
      </c>
      <c r="AD21">
        <v>124.25021422450729</v>
      </c>
      <c r="AE21">
        <v>184.2330762639246</v>
      </c>
      <c r="AF21">
        <v>197.08654670094259</v>
      </c>
      <c r="AG21">
        <v>265.63838903170523</v>
      </c>
      <c r="AH21">
        <v>484.14738646101114</v>
      </c>
      <c r="AI21">
        <v>402.74207369323051</v>
      </c>
      <c r="AJ21">
        <v>299.91431019708654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 s="1" t="s">
        <v>43</v>
      </c>
      <c r="B22">
        <v>61.764705882352935</v>
      </c>
      <c r="C22">
        <v>61.764705882352935</v>
      </c>
      <c r="D22">
        <v>55.882352941176464</v>
      </c>
      <c r="E22">
        <v>52.941176470588232</v>
      </c>
      <c r="F22">
        <v>67.647058823529406</v>
      </c>
      <c r="G22">
        <v>223.52941176470586</v>
      </c>
      <c r="H22">
        <v>244.11764705882351</v>
      </c>
      <c r="I22">
        <v>317.64705882352939</v>
      </c>
      <c r="J22">
        <v>335.29411764705878</v>
      </c>
      <c r="K22">
        <v>394.11764705882348</v>
      </c>
      <c r="L22">
        <v>111.76470588235293</v>
      </c>
      <c r="M22">
        <v>214.70588235294116</v>
      </c>
      <c r="N22">
        <v>258.8235294117647</v>
      </c>
      <c r="O22">
        <v>279.41176470588232</v>
      </c>
      <c r="P22">
        <v>329.41176470588232</v>
      </c>
      <c r="Q22">
        <v>61.764705882352935</v>
      </c>
      <c r="R22">
        <v>102.94117647058823</v>
      </c>
      <c r="S22">
        <v>52.941176470588232</v>
      </c>
      <c r="T22">
        <v>41.17647058823529</v>
      </c>
      <c r="U22">
        <v>76.470588235294116</v>
      </c>
      <c r="V22">
        <v>20.588235294117645</v>
      </c>
      <c r="W22">
        <v>8.8235294117647047</v>
      </c>
      <c r="X22">
        <v>20.588235294117645</v>
      </c>
      <c r="Y22">
        <v>11.76470588235294</v>
      </c>
      <c r="Z22">
        <v>58.823529411764703</v>
      </c>
      <c r="AA22">
        <v>79.411764705882348</v>
      </c>
      <c r="AB22">
        <v>141.17647058823528</v>
      </c>
      <c r="AC22">
        <v>55.882352941176464</v>
      </c>
      <c r="AD22">
        <v>144.11764705882351</v>
      </c>
      <c r="AE22">
        <v>138.23529411764704</v>
      </c>
      <c r="AF22">
        <v>220.58823529411762</v>
      </c>
      <c r="AG22">
        <v>270.58823529411762</v>
      </c>
      <c r="AH22">
        <v>473.52941176470586</v>
      </c>
      <c r="AI22">
        <v>423.52941176470586</v>
      </c>
      <c r="AJ22">
        <v>294.11764705882354</v>
      </c>
      <c r="AK22">
        <v>0</v>
      </c>
      <c r="AL22">
        <v>0</v>
      </c>
      <c r="AM22">
        <v>0</v>
      </c>
      <c r="AN22">
        <v>5.8823529411764701</v>
      </c>
      <c r="AO22">
        <v>5.8823529411764701</v>
      </c>
    </row>
    <row r="23" spans="1:41" x14ac:dyDescent="0.3">
      <c r="A23" s="1" t="s">
        <v>44</v>
      </c>
      <c r="B23">
        <v>60.255198487712661</v>
      </c>
      <c r="C23">
        <v>67.34404536862003</v>
      </c>
      <c r="D23">
        <v>62.618147448015122</v>
      </c>
      <c r="E23">
        <v>67.934782608695656</v>
      </c>
      <c r="F23">
        <v>70.297731568998103</v>
      </c>
      <c r="G23">
        <v>170.72306238185254</v>
      </c>
      <c r="H23">
        <v>166.58790170132323</v>
      </c>
      <c r="I23">
        <v>207.93950850661625</v>
      </c>
      <c r="J23">
        <v>265.24102079395084</v>
      </c>
      <c r="K23">
        <v>257.56143667296783</v>
      </c>
      <c r="L23">
        <v>126.41776937618147</v>
      </c>
      <c r="M23">
        <v>157.72684310018903</v>
      </c>
      <c r="N23">
        <v>140.59546313799621</v>
      </c>
      <c r="O23">
        <v>110.46786389413988</v>
      </c>
      <c r="P23">
        <v>135.27882797731567</v>
      </c>
      <c r="Q23">
        <v>61.436672967863892</v>
      </c>
      <c r="R23">
        <v>51.394139886578451</v>
      </c>
      <c r="S23">
        <v>42.533081285444233</v>
      </c>
      <c r="T23">
        <v>50.803402646502832</v>
      </c>
      <c r="U23">
        <v>38.988657844990549</v>
      </c>
      <c r="V23">
        <v>29.536862003780715</v>
      </c>
      <c r="W23">
        <v>38.988657844990549</v>
      </c>
      <c r="X23">
        <v>22.448015122873343</v>
      </c>
      <c r="Y23">
        <v>34.262759924385634</v>
      </c>
      <c r="Z23">
        <v>38.39792060491493</v>
      </c>
      <c r="AA23">
        <v>162.45274102079395</v>
      </c>
      <c r="AB23">
        <v>227.43383742911152</v>
      </c>
      <c r="AC23">
        <v>278.82797731568996</v>
      </c>
      <c r="AD23">
        <v>284.14461247637047</v>
      </c>
      <c r="AE23">
        <v>306.59262759924383</v>
      </c>
      <c r="AF23">
        <v>517.48582230623811</v>
      </c>
      <c r="AG23">
        <v>642.1313799621928</v>
      </c>
      <c r="AH23">
        <v>773.86578449905483</v>
      </c>
      <c r="AI23">
        <v>697.06994328922497</v>
      </c>
      <c r="AJ23">
        <v>695.29773156899807</v>
      </c>
      <c r="AK23">
        <v>0</v>
      </c>
      <c r="AL23">
        <v>0</v>
      </c>
      <c r="AM23">
        <v>0.59073724007561434</v>
      </c>
      <c r="AN23">
        <v>2.9536862003780717</v>
      </c>
      <c r="AO23">
        <v>2.9536862003780717</v>
      </c>
    </row>
    <row r="24" spans="1:41" x14ac:dyDescent="0.3">
      <c r="A24" s="1" t="s">
        <v>17</v>
      </c>
      <c r="B24">
        <v>23.929169657812874</v>
      </c>
      <c r="C24">
        <v>41.876046901172529</v>
      </c>
      <c r="D24">
        <v>11.964584828906437</v>
      </c>
      <c r="E24">
        <v>17.946877243359655</v>
      </c>
      <c r="F24">
        <v>5.9822924144532186</v>
      </c>
      <c r="G24">
        <v>119.64584828906436</v>
      </c>
      <c r="H24">
        <v>143.57501794687724</v>
      </c>
      <c r="I24">
        <v>137.59272553242403</v>
      </c>
      <c r="J24">
        <v>143.57501794687724</v>
      </c>
      <c r="K24">
        <v>149.55731036133045</v>
      </c>
      <c r="L24">
        <v>83.752093802345058</v>
      </c>
      <c r="M24">
        <v>287.15003589375448</v>
      </c>
      <c r="N24">
        <v>191.43335726250299</v>
      </c>
      <c r="O24">
        <v>149.55731036133045</v>
      </c>
      <c r="P24">
        <v>221.34481933476908</v>
      </c>
      <c r="Q24">
        <v>107.68126346015794</v>
      </c>
      <c r="R24">
        <v>59.82292414453218</v>
      </c>
      <c r="S24">
        <v>89.734386216798271</v>
      </c>
      <c r="T24">
        <v>71.787508973438619</v>
      </c>
      <c r="U24">
        <v>53.840631730078968</v>
      </c>
      <c r="V24">
        <v>5.9822924144532186</v>
      </c>
      <c r="W24">
        <v>35.89375448671931</v>
      </c>
      <c r="X24">
        <v>23.929169657812874</v>
      </c>
      <c r="Y24">
        <v>5.9822924144532186</v>
      </c>
      <c r="Z24">
        <v>35.89375448671931</v>
      </c>
      <c r="AA24">
        <v>47.858339315625749</v>
      </c>
      <c r="AB24">
        <v>167.50418760469012</v>
      </c>
      <c r="AC24">
        <v>71.787508973438619</v>
      </c>
      <c r="AD24">
        <v>185.45106484804978</v>
      </c>
      <c r="AE24">
        <v>89.734386216798271</v>
      </c>
      <c r="AF24">
        <v>269.20315865039481</v>
      </c>
      <c r="AG24">
        <v>269.20315865039481</v>
      </c>
      <c r="AH24">
        <v>323.04379038047381</v>
      </c>
      <c r="AI24">
        <v>293.13232830820772</v>
      </c>
      <c r="AJ24">
        <v>293.13232830820772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 s="1" t="s">
        <v>45</v>
      </c>
      <c r="B25">
        <v>108.77966392809093</v>
      </c>
      <c r="C25">
        <v>97.329172988291887</v>
      </c>
      <c r="D25">
        <v>100.19179572324164</v>
      </c>
      <c r="E25">
        <v>100.19179572324164</v>
      </c>
      <c r="F25">
        <v>103.05441845819141</v>
      </c>
      <c r="G25">
        <v>140.2685140125383</v>
      </c>
      <c r="H25">
        <v>160.30687315718663</v>
      </c>
      <c r="I25">
        <v>128.81802307273927</v>
      </c>
      <c r="J25">
        <v>174.61998683193542</v>
      </c>
      <c r="K25">
        <v>125.9554003377895</v>
      </c>
      <c r="L25">
        <v>85.878682048492834</v>
      </c>
      <c r="M25">
        <v>77.290813843643548</v>
      </c>
      <c r="N25">
        <v>77.290813843643548</v>
      </c>
      <c r="O25">
        <v>143.13113674748806</v>
      </c>
      <c r="P25">
        <v>260.49866888042828</v>
      </c>
      <c r="Q25">
        <v>57.252454698995223</v>
      </c>
      <c r="R25">
        <v>48.664586494145944</v>
      </c>
      <c r="S25">
        <v>48.664586494145944</v>
      </c>
      <c r="T25">
        <v>51.527209229095703</v>
      </c>
      <c r="U25">
        <v>80.153436578593315</v>
      </c>
      <c r="V25">
        <v>8.5878682048492827</v>
      </c>
      <c r="W25">
        <v>17.175736409698565</v>
      </c>
      <c r="X25">
        <v>34.351472819397131</v>
      </c>
      <c r="Y25">
        <v>20.038359144648329</v>
      </c>
      <c r="Z25">
        <v>94.46655025334212</v>
      </c>
      <c r="AA25">
        <v>105.91704119314116</v>
      </c>
      <c r="AB25">
        <v>71.565568373744028</v>
      </c>
      <c r="AC25">
        <v>83.016059313543067</v>
      </c>
      <c r="AD25">
        <v>83.016059313543067</v>
      </c>
      <c r="AE25">
        <v>100.19179572324164</v>
      </c>
      <c r="AF25">
        <v>123.09277760283973</v>
      </c>
      <c r="AG25">
        <v>206.10883691638281</v>
      </c>
      <c r="AH25">
        <v>249.04817794062922</v>
      </c>
      <c r="AI25">
        <v>208.97145965133257</v>
      </c>
      <c r="AJ25">
        <v>134.54326854263877</v>
      </c>
      <c r="AK25">
        <v>0</v>
      </c>
      <c r="AL25">
        <v>0</v>
      </c>
      <c r="AM25">
        <v>0</v>
      </c>
      <c r="AN25">
        <v>2.862622734949761</v>
      </c>
      <c r="AO25">
        <v>0</v>
      </c>
    </row>
    <row r="26" spans="1:41" x14ac:dyDescent="0.3">
      <c r="A26" s="1" t="s">
        <v>37</v>
      </c>
      <c r="B26">
        <v>24.966711051930758</v>
      </c>
      <c r="C26">
        <v>74.900133155792275</v>
      </c>
      <c r="D26">
        <v>33.288948069241009</v>
      </c>
      <c r="E26">
        <v>24.966711051930758</v>
      </c>
      <c r="F26">
        <v>91.544607190412776</v>
      </c>
      <c r="G26">
        <v>149.80026631158455</v>
      </c>
      <c r="H26">
        <v>108.18908122503329</v>
      </c>
      <c r="I26">
        <v>174.76697736351531</v>
      </c>
      <c r="J26">
        <v>74.900133155792275</v>
      </c>
      <c r="K26">
        <v>158.12250332889479</v>
      </c>
      <c r="L26">
        <v>291.27829560585883</v>
      </c>
      <c r="M26">
        <v>149.80026631158455</v>
      </c>
      <c r="N26">
        <v>83.222370173102533</v>
      </c>
      <c r="O26">
        <v>91.544607190412776</v>
      </c>
      <c r="P26">
        <v>191.41145139813582</v>
      </c>
      <c r="Q26">
        <v>66.577896138482018</v>
      </c>
      <c r="R26">
        <v>74.900133155792275</v>
      </c>
      <c r="S26">
        <v>33.288948069241009</v>
      </c>
      <c r="T26">
        <v>16.644474034620504</v>
      </c>
      <c r="U26">
        <v>58.255659121171767</v>
      </c>
      <c r="V26">
        <v>8.3222370173102522</v>
      </c>
      <c r="W26">
        <v>16.644474034620504</v>
      </c>
      <c r="X26">
        <v>16.644474034620504</v>
      </c>
      <c r="Y26">
        <v>16.644474034620504</v>
      </c>
      <c r="Z26">
        <v>24.966711051930758</v>
      </c>
      <c r="AA26">
        <v>33.288948069241009</v>
      </c>
      <c r="AB26">
        <v>24.966711051930758</v>
      </c>
      <c r="AC26">
        <v>66.577896138482018</v>
      </c>
      <c r="AD26">
        <v>49.933422103861517</v>
      </c>
      <c r="AE26">
        <v>174.76697736351531</v>
      </c>
      <c r="AF26">
        <v>99.866844207723034</v>
      </c>
      <c r="AG26">
        <v>133.15579227696404</v>
      </c>
      <c r="AH26">
        <v>191.41145139813582</v>
      </c>
      <c r="AI26">
        <v>216.37816245006658</v>
      </c>
      <c r="AJ26">
        <v>133.15579227696404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3">
      <c r="A27" s="1" t="s">
        <v>18</v>
      </c>
      <c r="B27">
        <v>49.208562289838433</v>
      </c>
      <c r="C27">
        <v>106.61855162798327</v>
      </c>
      <c r="D27">
        <v>164.02854096612811</v>
      </c>
      <c r="E27">
        <v>180.43139506274093</v>
      </c>
      <c r="F27">
        <v>114.81997867628968</v>
      </c>
      <c r="G27">
        <v>106.61855162798327</v>
      </c>
      <c r="H27">
        <v>147.62568686951531</v>
      </c>
      <c r="I27">
        <v>188.63282211104732</v>
      </c>
      <c r="J27">
        <v>180.43139506274093</v>
      </c>
      <c r="K27">
        <v>188.63282211104732</v>
      </c>
      <c r="L27">
        <v>180.43139506274093</v>
      </c>
      <c r="M27">
        <v>106.61855162798327</v>
      </c>
      <c r="N27">
        <v>32.80570819322562</v>
      </c>
      <c r="O27">
        <v>139.42425982120889</v>
      </c>
      <c r="P27">
        <v>213.23710325596653</v>
      </c>
      <c r="Q27">
        <v>57.40998933814484</v>
      </c>
      <c r="R27">
        <v>16.40285409661281</v>
      </c>
      <c r="S27">
        <v>41.007135241532026</v>
      </c>
      <c r="T27">
        <v>65.611416386451239</v>
      </c>
      <c r="U27">
        <v>73.812843434757653</v>
      </c>
      <c r="V27">
        <v>8.2014270483064049</v>
      </c>
      <c r="W27">
        <v>0</v>
      </c>
      <c r="X27">
        <v>41.007135241532026</v>
      </c>
      <c r="Y27">
        <v>24.604281144919216</v>
      </c>
      <c r="Z27">
        <v>32.80570819322562</v>
      </c>
      <c r="AA27">
        <v>82.014270483064053</v>
      </c>
      <c r="AB27">
        <v>32.80570819322562</v>
      </c>
      <c r="AC27">
        <v>188.63282211104732</v>
      </c>
      <c r="AD27">
        <v>57.40998933814484</v>
      </c>
      <c r="AE27">
        <v>492.08562289838432</v>
      </c>
      <c r="AF27">
        <v>65.611416386451239</v>
      </c>
      <c r="AG27">
        <v>139.42425982120889</v>
      </c>
      <c r="AH27">
        <v>188.63282211104732</v>
      </c>
      <c r="AI27">
        <v>213.23710325596653</v>
      </c>
      <c r="AJ27">
        <v>237.84138440088577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 s="1" t="s">
        <v>19</v>
      </c>
      <c r="B28">
        <v>31.214639666003354</v>
      </c>
      <c r="C28">
        <v>43.198831680629645</v>
      </c>
      <c r="D28">
        <v>30.935937526128324</v>
      </c>
      <c r="E28">
        <v>32.886852505253536</v>
      </c>
      <c r="F28">
        <v>42.084023121129526</v>
      </c>
      <c r="G28">
        <v>192.30447651377068</v>
      </c>
      <c r="H28">
        <v>185.33692301689493</v>
      </c>
      <c r="I28">
        <v>229.09315897727461</v>
      </c>
      <c r="J28">
        <v>183.94341231751977</v>
      </c>
      <c r="K28">
        <v>217.94507338227342</v>
      </c>
      <c r="L28">
        <v>115.10398376838738</v>
      </c>
      <c r="M28">
        <v>166.38517750539287</v>
      </c>
      <c r="N28">
        <v>221.84690334052385</v>
      </c>
      <c r="O28">
        <v>219.61728622152361</v>
      </c>
      <c r="P28">
        <v>272.29199065790425</v>
      </c>
      <c r="Q28">
        <v>45.985853079379943</v>
      </c>
      <c r="R28">
        <v>50.16638517750539</v>
      </c>
      <c r="S28">
        <v>38.460895302754132</v>
      </c>
      <c r="T28">
        <v>42.920129540754616</v>
      </c>
      <c r="U28">
        <v>44.034938100254735</v>
      </c>
      <c r="V28">
        <v>10.311979175376109</v>
      </c>
      <c r="W28">
        <v>14.771213413376588</v>
      </c>
      <c r="X28">
        <v>14.492511273501558</v>
      </c>
      <c r="Y28">
        <v>20.066554071002155</v>
      </c>
      <c r="Z28">
        <v>26.755405428002877</v>
      </c>
      <c r="AA28">
        <v>91.414301879009827</v>
      </c>
      <c r="AB28">
        <v>166.10647536551787</v>
      </c>
      <c r="AC28">
        <v>180.04158235926934</v>
      </c>
      <c r="AD28">
        <v>128.48168648238882</v>
      </c>
      <c r="AE28">
        <v>139.35106993751498</v>
      </c>
      <c r="AF28">
        <v>542.91176847655834</v>
      </c>
      <c r="AG28">
        <v>674.73788063744757</v>
      </c>
      <c r="AH28">
        <v>851.43503731821647</v>
      </c>
      <c r="AI28">
        <v>938.39010495922582</v>
      </c>
      <c r="AJ28">
        <v>969.32604248535415</v>
      </c>
      <c r="AK28">
        <v>0.27870213987502995</v>
      </c>
      <c r="AL28">
        <v>2.5083192588752694</v>
      </c>
      <c r="AM28">
        <v>0.55740427975005991</v>
      </c>
      <c r="AN28">
        <v>0.55740427975005991</v>
      </c>
      <c r="AO28">
        <v>0</v>
      </c>
    </row>
    <row r="29" spans="1:41" x14ac:dyDescent="0.3">
      <c r="A29" s="1" t="s">
        <v>20</v>
      </c>
      <c r="B29">
        <v>55.361902809103952</v>
      </c>
      <c r="C29">
        <v>59.462784498667212</v>
      </c>
      <c r="D29">
        <v>36.907935206069304</v>
      </c>
      <c r="E29">
        <v>82.017633791265112</v>
      </c>
      <c r="F29">
        <v>108.67336477342629</v>
      </c>
      <c r="G29">
        <v>186.59011687512813</v>
      </c>
      <c r="H29">
        <v>260.40598728726673</v>
      </c>
      <c r="I29">
        <v>209.14496616772604</v>
      </c>
      <c r="J29">
        <v>198.8927619438179</v>
      </c>
      <c r="K29">
        <v>287.0617182694279</v>
      </c>
      <c r="L29">
        <v>112.77424646298954</v>
      </c>
      <c r="M29">
        <v>190.6909985646914</v>
      </c>
      <c r="N29">
        <v>166.08570842731186</v>
      </c>
      <c r="O29">
        <v>135.32909575558745</v>
      </c>
      <c r="P29">
        <v>192.74143940947303</v>
      </c>
      <c r="Q29">
        <v>59.462784498667212</v>
      </c>
      <c r="R29">
        <v>38.95837605085093</v>
      </c>
      <c r="S29">
        <v>38.95837605085093</v>
      </c>
      <c r="T29">
        <v>57.412343653885586</v>
      </c>
      <c r="U29">
        <v>59.462784498667212</v>
      </c>
      <c r="V29">
        <v>14.353085913471396</v>
      </c>
      <c r="W29">
        <v>16.403526758253022</v>
      </c>
      <c r="X29">
        <v>8.2017633791265112</v>
      </c>
      <c r="Y29">
        <v>28.706171826942793</v>
      </c>
      <c r="Z29">
        <v>38.95837605085093</v>
      </c>
      <c r="AA29">
        <v>104.57248308386302</v>
      </c>
      <c r="AB29">
        <v>207.09452532294443</v>
      </c>
      <c r="AC29">
        <v>166.08570842731186</v>
      </c>
      <c r="AD29">
        <v>192.74143940947303</v>
      </c>
      <c r="AE29">
        <v>321.91921263071561</v>
      </c>
      <c r="AF29">
        <v>268.60775066639326</v>
      </c>
      <c r="AG29">
        <v>342.42362107853188</v>
      </c>
      <c r="AH29">
        <v>410.0881689563256</v>
      </c>
      <c r="AI29">
        <v>449.04654500717652</v>
      </c>
      <c r="AJ29">
        <v>549.51814640147632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 s="1" t="s">
        <v>21</v>
      </c>
      <c r="B30">
        <v>32.266391326794015</v>
      </c>
      <c r="C30">
        <v>83.892617449664442</v>
      </c>
      <c r="D30">
        <v>109.70573051109965</v>
      </c>
      <c r="E30">
        <v>70.986060918946833</v>
      </c>
      <c r="F30">
        <v>77.439339184305638</v>
      </c>
      <c r="G30">
        <v>161.33195663397007</v>
      </c>
      <c r="H30">
        <v>174.23851316468767</v>
      </c>
      <c r="I30">
        <v>258.13113061435212</v>
      </c>
      <c r="J30">
        <v>329.11719153329892</v>
      </c>
      <c r="K30">
        <v>283.94424367578733</v>
      </c>
      <c r="L30">
        <v>154.87867836861128</v>
      </c>
      <c r="M30">
        <v>193.59834796076407</v>
      </c>
      <c r="N30">
        <v>232.3180175529169</v>
      </c>
      <c r="O30">
        <v>296.85080020650491</v>
      </c>
      <c r="P30">
        <v>413.00980898296336</v>
      </c>
      <c r="Q30">
        <v>25.81311306143521</v>
      </c>
      <c r="R30">
        <v>135.51884357253485</v>
      </c>
      <c r="S30">
        <v>109.70573051109965</v>
      </c>
      <c r="T30">
        <v>51.62622612287042</v>
      </c>
      <c r="U30">
        <v>116.15900877645845</v>
      </c>
      <c r="V30">
        <v>19.359834796076409</v>
      </c>
      <c r="W30">
        <v>0</v>
      </c>
      <c r="X30">
        <v>19.359834796076409</v>
      </c>
      <c r="Y30">
        <v>12.906556530717605</v>
      </c>
      <c r="Z30">
        <v>19.359834796076409</v>
      </c>
      <c r="AA30">
        <v>64.532782653588029</v>
      </c>
      <c r="AB30">
        <v>116.15900877645845</v>
      </c>
      <c r="AC30">
        <v>116.15900877645845</v>
      </c>
      <c r="AD30">
        <v>238.77129581827572</v>
      </c>
      <c r="AE30">
        <v>180.69179143004649</v>
      </c>
      <c r="AF30">
        <v>232.3180175529169</v>
      </c>
      <c r="AG30">
        <v>361.38358286009299</v>
      </c>
      <c r="AH30">
        <v>316.21063500258134</v>
      </c>
      <c r="AI30">
        <v>283.94424367578733</v>
      </c>
      <c r="AJ30">
        <v>264.58440887971091</v>
      </c>
      <c r="AK30">
        <v>0</v>
      </c>
      <c r="AL30">
        <v>0</v>
      </c>
      <c r="AM30">
        <v>0</v>
      </c>
      <c r="AN30">
        <v>6.4532782653588026</v>
      </c>
      <c r="AO30">
        <v>6.4532782653588026</v>
      </c>
    </row>
    <row r="31" spans="1:41" x14ac:dyDescent="0.3">
      <c r="A31" s="1" t="s">
        <v>46</v>
      </c>
      <c r="B31">
        <v>31.934597943411895</v>
      </c>
      <c r="C31">
        <v>83.029954652870927</v>
      </c>
      <c r="D31">
        <v>76.643035064188552</v>
      </c>
      <c r="E31">
        <v>57.482276298141414</v>
      </c>
      <c r="F31">
        <v>51.095356709459033</v>
      </c>
      <c r="G31">
        <v>236.31602478124802</v>
      </c>
      <c r="H31">
        <v>172.44682889442424</v>
      </c>
      <c r="I31">
        <v>121.3514721849652</v>
      </c>
      <c r="J31">
        <v>166.05990930574185</v>
      </c>
      <c r="K31">
        <v>146.89915053969472</v>
      </c>
      <c r="L31">
        <v>185.22066807178899</v>
      </c>
      <c r="M31">
        <v>134.12531136232997</v>
      </c>
      <c r="N31">
        <v>229.92910519256566</v>
      </c>
      <c r="O31">
        <v>185.22066807178899</v>
      </c>
      <c r="P31">
        <v>210.76834642651852</v>
      </c>
      <c r="Q31">
        <v>114.96455259628283</v>
      </c>
      <c r="R31">
        <v>108.57763300760044</v>
      </c>
      <c r="S31">
        <v>121.3514721849652</v>
      </c>
      <c r="T31">
        <v>191.60758766047138</v>
      </c>
      <c r="U31">
        <v>83.029954652870927</v>
      </c>
      <c r="V31">
        <v>19.160758766047138</v>
      </c>
      <c r="W31">
        <v>6.3869195886823791</v>
      </c>
      <c r="X31">
        <v>38.321517532094276</v>
      </c>
      <c r="Y31">
        <v>19.160758766047138</v>
      </c>
      <c r="Z31">
        <v>38.321517532094276</v>
      </c>
      <c r="AA31">
        <v>146.89915053969472</v>
      </c>
      <c r="AB31">
        <v>153.2860701283771</v>
      </c>
      <c r="AC31">
        <v>159.67298971705947</v>
      </c>
      <c r="AD31">
        <v>229.92910519256566</v>
      </c>
      <c r="AE31">
        <v>140.51223095101233</v>
      </c>
      <c r="AF31">
        <v>197.99450724915374</v>
      </c>
      <c r="AG31">
        <v>229.92910519256566</v>
      </c>
      <c r="AH31">
        <v>197.99450724915374</v>
      </c>
      <c r="AI31">
        <v>261.86370313597752</v>
      </c>
      <c r="AJ31">
        <v>172.44682889442424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 s="1" t="s">
        <v>22</v>
      </c>
      <c r="B32">
        <v>61.748281786941583</v>
      </c>
      <c r="C32">
        <v>53.694158075601379</v>
      </c>
      <c r="D32">
        <v>18.792955326460483</v>
      </c>
      <c r="E32">
        <v>61.748281786941583</v>
      </c>
      <c r="F32">
        <v>59.063573883161517</v>
      </c>
      <c r="G32">
        <v>166.45189003436428</v>
      </c>
      <c r="H32">
        <v>150.34364261168386</v>
      </c>
      <c r="I32">
        <v>155.71305841924399</v>
      </c>
      <c r="J32">
        <v>147.6589347079038</v>
      </c>
      <c r="K32">
        <v>158.39776632302406</v>
      </c>
      <c r="L32">
        <v>144.97422680412373</v>
      </c>
      <c r="M32">
        <v>155.71305841924399</v>
      </c>
      <c r="N32">
        <v>212.09192439862545</v>
      </c>
      <c r="O32">
        <v>195.98367697594503</v>
      </c>
      <c r="P32">
        <v>298.00257731958766</v>
      </c>
      <c r="Q32">
        <v>88.595360824742272</v>
      </c>
      <c r="R32">
        <v>102.01890034364261</v>
      </c>
      <c r="S32">
        <v>64.432989690721655</v>
      </c>
      <c r="T32">
        <v>72.487113402061865</v>
      </c>
      <c r="U32">
        <v>126.18127147766324</v>
      </c>
      <c r="V32">
        <v>16.108247422680414</v>
      </c>
      <c r="W32">
        <v>10.738831615120276</v>
      </c>
      <c r="X32">
        <v>24.162371134020621</v>
      </c>
      <c r="Y32">
        <v>8.0541237113402069</v>
      </c>
      <c r="Z32">
        <v>16.108247422680414</v>
      </c>
      <c r="AA32">
        <v>102.01890034364261</v>
      </c>
      <c r="AB32">
        <v>104.70360824742269</v>
      </c>
      <c r="AC32">
        <v>110.07302405498282</v>
      </c>
      <c r="AD32">
        <v>174.50601374570448</v>
      </c>
      <c r="AE32">
        <v>198.6683848797251</v>
      </c>
      <c r="AF32">
        <v>139.60481099656357</v>
      </c>
      <c r="AG32">
        <v>195.98367697594503</v>
      </c>
      <c r="AH32">
        <v>246.99312714776633</v>
      </c>
      <c r="AI32">
        <v>238.93900343642613</v>
      </c>
      <c r="AJ32">
        <v>281.89432989690721</v>
      </c>
      <c r="AK32">
        <v>2.684707903780069</v>
      </c>
      <c r="AL32">
        <v>0</v>
      </c>
      <c r="AM32">
        <v>0</v>
      </c>
      <c r="AN32">
        <v>0</v>
      </c>
      <c r="AO32">
        <v>0</v>
      </c>
    </row>
    <row r="33" spans="1:41" x14ac:dyDescent="0.3">
      <c r="A33" s="1" t="s">
        <v>23</v>
      </c>
      <c r="B33">
        <v>74.626865671641795</v>
      </c>
      <c r="C33">
        <v>74.626865671641795</v>
      </c>
      <c r="D33">
        <v>34.443168771526985</v>
      </c>
      <c r="E33">
        <v>45.924225028702644</v>
      </c>
      <c r="F33">
        <v>51.66475315729047</v>
      </c>
      <c r="G33">
        <v>137.77267508610794</v>
      </c>
      <c r="H33">
        <v>172.21584385763492</v>
      </c>
      <c r="I33">
        <v>218.14006888633756</v>
      </c>
      <c r="J33">
        <v>177.95637198622273</v>
      </c>
      <c r="K33">
        <v>177.95637198622273</v>
      </c>
      <c r="L33">
        <v>172.21584385763492</v>
      </c>
      <c r="M33">
        <v>241.10218140068886</v>
      </c>
      <c r="N33">
        <v>183.69690011481057</v>
      </c>
      <c r="O33">
        <v>407.57749712973595</v>
      </c>
      <c r="P33">
        <v>281.28587830080369</v>
      </c>
      <c r="Q33">
        <v>57.405281285878303</v>
      </c>
      <c r="R33">
        <v>103.32950631458094</v>
      </c>
      <c r="S33">
        <v>80.367393800229621</v>
      </c>
      <c r="T33">
        <v>57.405281285878303</v>
      </c>
      <c r="U33">
        <v>34.443168771526985</v>
      </c>
      <c r="V33">
        <v>22.962112514351322</v>
      </c>
      <c r="W33">
        <v>17.221584385763492</v>
      </c>
      <c r="X33">
        <v>28.702640642939151</v>
      </c>
      <c r="Y33">
        <v>28.702640642939151</v>
      </c>
      <c r="Z33">
        <v>22.962112514351322</v>
      </c>
      <c r="AA33">
        <v>126.29161882893227</v>
      </c>
      <c r="AB33">
        <v>74.626865671641795</v>
      </c>
      <c r="AC33">
        <v>126.29161882893227</v>
      </c>
      <c r="AD33">
        <v>86.107921928817461</v>
      </c>
      <c r="AE33">
        <v>86.107921928817461</v>
      </c>
      <c r="AF33">
        <v>264.0642939150402</v>
      </c>
      <c r="AG33">
        <v>258.32376578645238</v>
      </c>
      <c r="AH33">
        <v>327.21010332950635</v>
      </c>
      <c r="AI33">
        <v>378.87485648679677</v>
      </c>
      <c r="AJ33">
        <v>292.76693455797937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 s="1" t="s">
        <v>24</v>
      </c>
      <c r="B34">
        <v>35.997120230381569</v>
      </c>
      <c r="C34">
        <v>57.595392368610511</v>
      </c>
      <c r="D34">
        <v>57.595392368610511</v>
      </c>
      <c r="E34">
        <v>57.595392368610511</v>
      </c>
      <c r="F34">
        <v>55.195584353251739</v>
      </c>
      <c r="G34">
        <v>211.18310535157187</v>
      </c>
      <c r="H34">
        <v>273.57811375089994</v>
      </c>
      <c r="I34">
        <v>321.57427405807533</v>
      </c>
      <c r="J34">
        <v>251.97984161267098</v>
      </c>
      <c r="K34">
        <v>280.77753779697622</v>
      </c>
      <c r="L34">
        <v>196.78425725941923</v>
      </c>
      <c r="M34">
        <v>91.192704583633301</v>
      </c>
      <c r="N34">
        <v>163.18694504439645</v>
      </c>
      <c r="O34">
        <v>179.98560115190784</v>
      </c>
      <c r="P34">
        <v>155.98752099832012</v>
      </c>
      <c r="Q34">
        <v>100.79193664506839</v>
      </c>
      <c r="R34">
        <v>47.996160307175423</v>
      </c>
      <c r="S34">
        <v>45.59635229181665</v>
      </c>
      <c r="T34">
        <v>55.195584353251739</v>
      </c>
      <c r="U34">
        <v>47.996160307175423</v>
      </c>
      <c r="V34">
        <v>31.197504199664024</v>
      </c>
      <c r="W34">
        <v>9.5992320614350852</v>
      </c>
      <c r="X34">
        <v>9.5992320614350852</v>
      </c>
      <c r="Y34">
        <v>19.19846412287017</v>
      </c>
      <c r="Z34">
        <v>38.396928245740341</v>
      </c>
      <c r="AA34">
        <v>71.994240460763137</v>
      </c>
      <c r="AB34">
        <v>136.78905687544997</v>
      </c>
      <c r="AC34">
        <v>155.98752099832012</v>
      </c>
      <c r="AD34">
        <v>86.393088552915771</v>
      </c>
      <c r="AE34">
        <v>124.7900167986561</v>
      </c>
      <c r="AF34">
        <v>165.58675305975521</v>
      </c>
      <c r="AG34">
        <v>328.77369810415166</v>
      </c>
      <c r="AH34">
        <v>412.76697864170865</v>
      </c>
      <c r="AI34">
        <v>400.7679385649148</v>
      </c>
      <c r="AJ34">
        <v>441.56467482601391</v>
      </c>
      <c r="AK34">
        <v>0</v>
      </c>
      <c r="AL34">
        <v>2.3998080153587713</v>
      </c>
      <c r="AM34">
        <v>0</v>
      </c>
      <c r="AN34">
        <v>0</v>
      </c>
      <c r="AO34">
        <v>2.3998080153587713</v>
      </c>
    </row>
    <row r="35" spans="1:41" x14ac:dyDescent="0.3">
      <c r="A35" s="1" t="s">
        <v>25</v>
      </c>
      <c r="B35">
        <v>102.95126973232671</v>
      </c>
      <c r="C35">
        <v>171.58544955387782</v>
      </c>
      <c r="D35">
        <v>185.31228551818808</v>
      </c>
      <c r="E35">
        <v>116.67810569663693</v>
      </c>
      <c r="F35">
        <v>178.44886753603294</v>
      </c>
      <c r="G35">
        <v>130.40494166094715</v>
      </c>
      <c r="H35">
        <v>130.40494166094715</v>
      </c>
      <c r="I35">
        <v>102.95126973232671</v>
      </c>
      <c r="J35">
        <v>96.087851750171595</v>
      </c>
      <c r="K35">
        <v>109.81468771448182</v>
      </c>
      <c r="L35">
        <v>48.043925875085797</v>
      </c>
      <c r="M35">
        <v>61.770761839396023</v>
      </c>
      <c r="N35">
        <v>48.043925875085797</v>
      </c>
      <c r="O35">
        <v>116.67810569663693</v>
      </c>
      <c r="P35">
        <v>48.043925875085797</v>
      </c>
      <c r="Q35">
        <v>41.180507892930677</v>
      </c>
      <c r="R35">
        <v>116.67810569663693</v>
      </c>
      <c r="S35">
        <v>0</v>
      </c>
      <c r="T35">
        <v>54.90734385724091</v>
      </c>
      <c r="U35">
        <v>20.590253946465339</v>
      </c>
      <c r="V35">
        <v>6.8634179821551138</v>
      </c>
      <c r="W35">
        <v>0</v>
      </c>
      <c r="X35">
        <v>6.8634179821551138</v>
      </c>
      <c r="Y35">
        <v>13.726835964310228</v>
      </c>
      <c r="Z35">
        <v>61.770761839396023</v>
      </c>
      <c r="AA35">
        <v>82.361015785861355</v>
      </c>
      <c r="AB35">
        <v>41.180507892930677</v>
      </c>
      <c r="AC35">
        <v>20.590253946465339</v>
      </c>
      <c r="AD35">
        <v>41.180507892930677</v>
      </c>
      <c r="AE35">
        <v>68.634179821551129</v>
      </c>
      <c r="AF35">
        <v>68.634179821551129</v>
      </c>
      <c r="AG35">
        <v>150.99519560741248</v>
      </c>
      <c r="AH35">
        <v>137.26835964310226</v>
      </c>
      <c r="AI35">
        <v>82.361015785861355</v>
      </c>
      <c r="AJ35">
        <v>75.497597803706242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 s="1" t="s">
        <v>26</v>
      </c>
      <c r="B36">
        <v>57.232049947970857</v>
      </c>
      <c r="C36">
        <v>72.840790842872011</v>
      </c>
      <c r="D36">
        <v>72.840790842872011</v>
      </c>
      <c r="E36">
        <v>93.652445369406863</v>
      </c>
      <c r="F36">
        <v>119.66701352757543</v>
      </c>
      <c r="G36">
        <v>52.029136316337144</v>
      </c>
      <c r="H36">
        <v>93.652445369406863</v>
      </c>
      <c r="I36">
        <v>67.63787721123829</v>
      </c>
      <c r="J36">
        <v>166.49323621227887</v>
      </c>
      <c r="K36">
        <v>161.29032258064515</v>
      </c>
      <c r="L36">
        <v>171.69614984391259</v>
      </c>
      <c r="M36">
        <v>145.68158168574402</v>
      </c>
      <c r="N36">
        <v>182.10197710718001</v>
      </c>
      <c r="O36">
        <v>62.434963579604577</v>
      </c>
      <c r="P36">
        <v>187.30489073881373</v>
      </c>
      <c r="Q36">
        <v>78.043704474505716</v>
      </c>
      <c r="R36">
        <v>88.449531737773142</v>
      </c>
      <c r="S36">
        <v>72.840790842872011</v>
      </c>
      <c r="T36">
        <v>67.63787721123829</v>
      </c>
      <c r="U36">
        <v>52.029136316337144</v>
      </c>
      <c r="V36">
        <v>15.608740894901144</v>
      </c>
      <c r="W36">
        <v>20.811654526534859</v>
      </c>
      <c r="X36">
        <v>26.014568158168572</v>
      </c>
      <c r="Y36">
        <v>15.608740894901144</v>
      </c>
      <c r="Z36">
        <v>57.232049947970857</v>
      </c>
      <c r="AA36">
        <v>41.623309053069718</v>
      </c>
      <c r="AB36">
        <v>57.232049947970857</v>
      </c>
      <c r="AC36">
        <v>124.86992715920915</v>
      </c>
      <c r="AD36">
        <v>104.05827263267429</v>
      </c>
      <c r="AE36">
        <v>78.043704474505716</v>
      </c>
      <c r="AF36">
        <v>88.449531737773142</v>
      </c>
      <c r="AG36">
        <v>52.029136316337144</v>
      </c>
      <c r="AH36">
        <v>109.26118626430801</v>
      </c>
      <c r="AI36">
        <v>145.68158168574402</v>
      </c>
      <c r="AJ36">
        <v>109.26118626430801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">
      <c r="A37" s="1" t="s">
        <v>47</v>
      </c>
      <c r="B37">
        <v>66.785798090287173</v>
      </c>
      <c r="C37">
        <v>57.309434847746431</v>
      </c>
      <c r="D37">
        <v>45.125539250194038</v>
      </c>
      <c r="E37">
        <v>55.955668670240613</v>
      </c>
      <c r="F37">
        <v>41.515496110178518</v>
      </c>
      <c r="G37">
        <v>123.19272215302973</v>
      </c>
      <c r="H37">
        <v>110.55757116297539</v>
      </c>
      <c r="I37">
        <v>161.09817512319273</v>
      </c>
      <c r="J37">
        <v>162.0006859081966</v>
      </c>
      <c r="K37">
        <v>170.57453836573347</v>
      </c>
      <c r="L37">
        <v>110.10631577047346</v>
      </c>
      <c r="M37">
        <v>132.21783000306854</v>
      </c>
      <c r="N37">
        <v>80.774715257847333</v>
      </c>
      <c r="O37">
        <v>209.83375751340228</v>
      </c>
      <c r="P37">
        <v>281.58336492121083</v>
      </c>
      <c r="Q37">
        <v>57.760690240248373</v>
      </c>
      <c r="R37">
        <v>67.237053482789122</v>
      </c>
      <c r="S37">
        <v>64.98077652027942</v>
      </c>
      <c r="T37">
        <v>70.847096622804642</v>
      </c>
      <c r="U37">
        <v>81.225970650349268</v>
      </c>
      <c r="V37">
        <v>39.710474540170758</v>
      </c>
      <c r="W37">
        <v>27.977834335120306</v>
      </c>
      <c r="X37">
        <v>64.98077652027942</v>
      </c>
      <c r="Y37">
        <v>50.089348567715383</v>
      </c>
      <c r="Z37">
        <v>56.858179455244489</v>
      </c>
      <c r="AA37">
        <v>84.836013790364788</v>
      </c>
      <c r="AB37">
        <v>85.287269182866737</v>
      </c>
      <c r="AC37">
        <v>181.85592317828198</v>
      </c>
      <c r="AD37">
        <v>138.53540549809571</v>
      </c>
      <c r="AE37">
        <v>160.19566433818883</v>
      </c>
      <c r="AF37">
        <v>359.6505478240465</v>
      </c>
      <c r="AG37">
        <v>490.06335625710727</v>
      </c>
      <c r="AH37">
        <v>643.03893431526501</v>
      </c>
      <c r="AI37">
        <v>561.36170827241381</v>
      </c>
      <c r="AJ37">
        <v>407.93487482175414</v>
      </c>
      <c r="AK37">
        <v>0</v>
      </c>
      <c r="AL37">
        <v>0</v>
      </c>
      <c r="AM37">
        <v>0.45125539250194041</v>
      </c>
      <c r="AN37">
        <v>0.45125539250194041</v>
      </c>
      <c r="AO37">
        <v>0</v>
      </c>
    </row>
    <row r="38" spans="1:41" x14ac:dyDescent="0.3">
      <c r="A38" s="1" t="s">
        <v>27</v>
      </c>
      <c r="B38">
        <v>18.351991191044231</v>
      </c>
      <c r="C38">
        <v>18.351991191044231</v>
      </c>
      <c r="D38">
        <v>73.407964764176924</v>
      </c>
      <c r="E38">
        <v>18.351991191044231</v>
      </c>
      <c r="F38">
        <v>128.4639383373096</v>
      </c>
      <c r="G38">
        <v>55.05597357313269</v>
      </c>
      <c r="H38">
        <v>201.87190310148651</v>
      </c>
      <c r="I38">
        <v>91.759955955221145</v>
      </c>
      <c r="J38">
        <v>128.4639383373096</v>
      </c>
      <c r="K38">
        <v>73.407964764176924</v>
      </c>
      <c r="L38">
        <v>110.11194714626538</v>
      </c>
      <c r="M38">
        <v>183.51991191044229</v>
      </c>
      <c r="N38">
        <v>91.759955955221145</v>
      </c>
      <c r="O38">
        <v>128.4639383373096</v>
      </c>
      <c r="P38">
        <v>128.4639383373096</v>
      </c>
      <c r="Q38">
        <v>110.11194714626538</v>
      </c>
      <c r="R38">
        <v>73.407964764176924</v>
      </c>
      <c r="S38">
        <v>0</v>
      </c>
      <c r="T38">
        <v>0</v>
      </c>
      <c r="U38">
        <v>36.703982382088462</v>
      </c>
      <c r="V38">
        <v>0</v>
      </c>
      <c r="W38">
        <v>18.351991191044231</v>
      </c>
      <c r="X38">
        <v>36.703982382088462</v>
      </c>
      <c r="Y38">
        <v>18.351991191044231</v>
      </c>
      <c r="Z38">
        <v>0</v>
      </c>
      <c r="AA38">
        <v>183.51991191044229</v>
      </c>
      <c r="AB38">
        <v>220.22389429253076</v>
      </c>
      <c r="AC38">
        <v>238.57588548357498</v>
      </c>
      <c r="AD38">
        <v>36.703982382088462</v>
      </c>
      <c r="AE38">
        <v>36.703982382088462</v>
      </c>
      <c r="AF38">
        <v>110.11194714626538</v>
      </c>
      <c r="AG38">
        <v>91.759955955221145</v>
      </c>
      <c r="AH38">
        <v>220.22389429253076</v>
      </c>
      <c r="AI38">
        <v>110.11194714626538</v>
      </c>
      <c r="AJ38">
        <v>128.4639383373096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3">
      <c r="A39" s="1" t="s">
        <v>28</v>
      </c>
      <c r="B39">
        <v>28.421202216853771</v>
      </c>
      <c r="C39">
        <v>14.210601108426886</v>
      </c>
      <c r="D39">
        <v>28.421202216853771</v>
      </c>
      <c r="E39">
        <v>42.631803325280657</v>
      </c>
      <c r="F39">
        <v>42.631803325280657</v>
      </c>
      <c r="G39">
        <v>127.89540997584197</v>
      </c>
      <c r="H39">
        <v>99.4742077589882</v>
      </c>
      <c r="I39">
        <v>142.10601108426886</v>
      </c>
      <c r="J39">
        <v>85.263606650561314</v>
      </c>
      <c r="K39">
        <v>85.263606650561314</v>
      </c>
      <c r="L39">
        <v>156.31661219269574</v>
      </c>
      <c r="M39">
        <v>156.31661219269574</v>
      </c>
      <c r="N39">
        <v>127.89540997584197</v>
      </c>
      <c r="O39">
        <v>198.9484155179764</v>
      </c>
      <c r="P39">
        <v>284.21202216853771</v>
      </c>
      <c r="Q39">
        <v>14.210601108426886</v>
      </c>
      <c r="R39">
        <v>42.631803325280657</v>
      </c>
      <c r="S39">
        <v>99.4742077589882</v>
      </c>
      <c r="T39">
        <v>56.842404433707543</v>
      </c>
      <c r="U39">
        <v>56.842404433707543</v>
      </c>
      <c r="V39">
        <v>0</v>
      </c>
      <c r="W39">
        <v>0</v>
      </c>
      <c r="X39">
        <v>14.210601108426886</v>
      </c>
      <c r="Y39">
        <v>14.210601108426886</v>
      </c>
      <c r="Z39">
        <v>28.421202216853771</v>
      </c>
      <c r="AA39">
        <v>14.210601108426886</v>
      </c>
      <c r="AB39">
        <v>42.631803325280657</v>
      </c>
      <c r="AC39">
        <v>42.631803325280657</v>
      </c>
      <c r="AD39">
        <v>71.053005542134429</v>
      </c>
      <c r="AE39">
        <v>42.631803325280657</v>
      </c>
      <c r="AF39">
        <v>71.053005542134429</v>
      </c>
      <c r="AG39">
        <v>85.263606650561314</v>
      </c>
      <c r="AH39">
        <v>127.89540997584197</v>
      </c>
      <c r="AI39">
        <v>156.31661219269574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 s="1" t="s">
        <v>29</v>
      </c>
      <c r="B40">
        <v>15.330369461904032</v>
      </c>
      <c r="C40">
        <v>15.330369461904032</v>
      </c>
      <c r="D40">
        <v>30.660738923808065</v>
      </c>
      <c r="E40">
        <v>15.330369461904032</v>
      </c>
      <c r="F40">
        <v>45.991108385712096</v>
      </c>
      <c r="G40">
        <v>114.97777096428024</v>
      </c>
      <c r="H40">
        <v>137.97332515713629</v>
      </c>
      <c r="I40">
        <v>191.62961827380042</v>
      </c>
      <c r="J40">
        <v>130.30814042618428</v>
      </c>
      <c r="K40">
        <v>245.28591139046452</v>
      </c>
      <c r="L40">
        <v>107.31258623332823</v>
      </c>
      <c r="M40">
        <v>206.95998773570443</v>
      </c>
      <c r="N40">
        <v>137.97332515713629</v>
      </c>
      <c r="O40">
        <v>99.647401502376212</v>
      </c>
      <c r="P40">
        <v>160.96887934999233</v>
      </c>
      <c r="Q40">
        <v>61.32147784761613</v>
      </c>
      <c r="R40">
        <v>160.96887934999233</v>
      </c>
      <c r="S40">
        <v>15.330369461904032</v>
      </c>
      <c r="T40">
        <v>45.991108385712096</v>
      </c>
      <c r="U40">
        <v>91.982216771424191</v>
      </c>
      <c r="V40">
        <v>7.6651847309520162</v>
      </c>
      <c r="W40">
        <v>61.32147784761613</v>
      </c>
      <c r="X40">
        <v>15.330369461904032</v>
      </c>
      <c r="Y40">
        <v>7.6651847309520162</v>
      </c>
      <c r="Z40">
        <v>0</v>
      </c>
      <c r="AA40">
        <v>91.982216771424191</v>
      </c>
      <c r="AB40">
        <v>114.97777096428024</v>
      </c>
      <c r="AC40">
        <v>222.29035719760847</v>
      </c>
      <c r="AD40">
        <v>160.96887934999233</v>
      </c>
      <c r="AE40">
        <v>107.31258623332823</v>
      </c>
      <c r="AF40">
        <v>206.95998773570443</v>
      </c>
      <c r="AG40">
        <v>229.95554192856048</v>
      </c>
      <c r="AH40">
        <v>321.93775869998467</v>
      </c>
      <c r="AI40">
        <v>214.62517246665647</v>
      </c>
      <c r="AJ40">
        <v>375.5940518166488</v>
      </c>
      <c r="AK40">
        <v>7.6651847309520162</v>
      </c>
      <c r="AL40">
        <v>0</v>
      </c>
      <c r="AM40">
        <v>0</v>
      </c>
      <c r="AN40">
        <v>0</v>
      </c>
      <c r="AO40">
        <v>0</v>
      </c>
    </row>
    <row r="41" spans="1:41" x14ac:dyDescent="0.3">
      <c r="A41" s="1" t="s">
        <v>30</v>
      </c>
      <c r="B41">
        <v>54.878048780487802</v>
      </c>
      <c r="C41">
        <v>54.878048780487802</v>
      </c>
      <c r="D41">
        <v>48.780487804878049</v>
      </c>
      <c r="E41">
        <v>54.878048780487802</v>
      </c>
      <c r="F41">
        <v>79.268292682926827</v>
      </c>
      <c r="G41">
        <v>164.63414634146341</v>
      </c>
      <c r="H41">
        <v>268.29268292682923</v>
      </c>
      <c r="I41">
        <v>225.60975609756096</v>
      </c>
      <c r="J41">
        <v>384.14634146341461</v>
      </c>
      <c r="K41">
        <v>231.70731707317071</v>
      </c>
      <c r="L41">
        <v>140.2439024390244</v>
      </c>
      <c r="M41">
        <v>164.63414634146341</v>
      </c>
      <c r="N41">
        <v>189.02439024390245</v>
      </c>
      <c r="O41">
        <v>170.73170731707316</v>
      </c>
      <c r="P41">
        <v>335.36585365853659</v>
      </c>
      <c r="Q41">
        <v>54.878048780487802</v>
      </c>
      <c r="R41">
        <v>42.68292682926829</v>
      </c>
      <c r="S41">
        <v>85.365853658536579</v>
      </c>
      <c r="T41">
        <v>24.390243902439025</v>
      </c>
      <c r="U41">
        <v>121.95121951219512</v>
      </c>
      <c r="V41">
        <v>24.390243902439025</v>
      </c>
      <c r="W41">
        <v>24.390243902439025</v>
      </c>
      <c r="X41">
        <v>18.292682926829269</v>
      </c>
      <c r="Y41">
        <v>6.0975609756097562</v>
      </c>
      <c r="Z41">
        <v>18.292682926829269</v>
      </c>
      <c r="AA41">
        <v>97.560975609756099</v>
      </c>
      <c r="AB41">
        <v>146.34146341463415</v>
      </c>
      <c r="AC41">
        <v>134.14634146341461</v>
      </c>
      <c r="AD41">
        <v>195.1219512195122</v>
      </c>
      <c r="AE41">
        <v>115.85365853658536</v>
      </c>
      <c r="AF41">
        <v>274.39024390243901</v>
      </c>
      <c r="AG41">
        <v>323.17073170731703</v>
      </c>
      <c r="AH41">
        <v>548.78048780487802</v>
      </c>
      <c r="AI41">
        <v>487.80487804878049</v>
      </c>
      <c r="AJ41">
        <v>317.07317073170731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3">
      <c r="A42" s="1" t="s">
        <v>31</v>
      </c>
      <c r="B42">
        <v>66.383192493316827</v>
      </c>
      <c r="C42">
        <v>99.574788739975233</v>
      </c>
      <c r="D42">
        <v>53.824210129716342</v>
      </c>
      <c r="E42">
        <v>53.824210129716342</v>
      </c>
      <c r="F42">
        <v>39.471087428458652</v>
      </c>
      <c r="G42">
        <v>214.39977035003676</v>
      </c>
      <c r="H42">
        <v>267.32691031092452</v>
      </c>
      <c r="I42">
        <v>276.29761199921057</v>
      </c>
      <c r="J42">
        <v>331.91596246658412</v>
      </c>
      <c r="K42">
        <v>295.13608554461126</v>
      </c>
      <c r="L42">
        <v>221.57633170066561</v>
      </c>
      <c r="M42">
        <v>347.16615533667044</v>
      </c>
      <c r="N42">
        <v>244.90015609020935</v>
      </c>
      <c r="O42">
        <v>231.44410355778027</v>
      </c>
      <c r="P42">
        <v>483.52082099861849</v>
      </c>
      <c r="Q42">
        <v>69.074402999802643</v>
      </c>
      <c r="R42">
        <v>69.074402999802643</v>
      </c>
      <c r="S42">
        <v>72.662683675117066</v>
      </c>
      <c r="T42">
        <v>64.589052155659616</v>
      </c>
      <c r="U42">
        <v>64.589052155659616</v>
      </c>
      <c r="V42">
        <v>8.9707016882860575</v>
      </c>
      <c r="W42">
        <v>24.220894558372354</v>
      </c>
      <c r="X42">
        <v>16.147263038914904</v>
      </c>
      <c r="Y42">
        <v>20.632613883057932</v>
      </c>
      <c r="Z42">
        <v>21.529684051886537</v>
      </c>
      <c r="AA42">
        <v>99.574788739975233</v>
      </c>
      <c r="AB42">
        <v>232.34117372660887</v>
      </c>
      <c r="AC42">
        <v>207.22320899940792</v>
      </c>
      <c r="AD42">
        <v>213.50270018120816</v>
      </c>
      <c r="AE42">
        <v>175.82575309040672</v>
      </c>
      <c r="AF42">
        <v>722.14148590702757</v>
      </c>
      <c r="AG42">
        <v>908.73208102337765</v>
      </c>
      <c r="AH42">
        <v>1123.1318513734143</v>
      </c>
      <c r="AI42">
        <v>1007.4097995945242</v>
      </c>
      <c r="AJ42">
        <v>947.3060982830076</v>
      </c>
      <c r="AK42">
        <v>0.89707016882860569</v>
      </c>
      <c r="AL42">
        <v>0</v>
      </c>
      <c r="AM42">
        <v>0</v>
      </c>
      <c r="AN42">
        <v>0</v>
      </c>
      <c r="AO42">
        <v>0</v>
      </c>
    </row>
    <row r="43" spans="1:41" x14ac:dyDescent="0.3">
      <c r="A43" s="1" t="s">
        <v>32</v>
      </c>
      <c r="B43">
        <v>58.220773171867719</v>
      </c>
      <c r="C43">
        <v>60.549604098742428</v>
      </c>
      <c r="D43">
        <v>53.563111318118303</v>
      </c>
      <c r="E43">
        <v>60.549604098742428</v>
      </c>
      <c r="F43">
        <v>86.166744294364221</v>
      </c>
      <c r="G43">
        <v>167.67582673497904</v>
      </c>
      <c r="H43">
        <v>274.80204937121567</v>
      </c>
      <c r="I43">
        <v>284.11737307871448</v>
      </c>
      <c r="J43">
        <v>207.26595249184908</v>
      </c>
      <c r="K43">
        <v>239.86958546809501</v>
      </c>
      <c r="L43">
        <v>223.56776897997204</v>
      </c>
      <c r="M43">
        <v>302.74802049371215</v>
      </c>
      <c r="N43">
        <v>209.59478341872381</v>
      </c>
      <c r="O43">
        <v>170.00465766185374</v>
      </c>
      <c r="P43">
        <v>223.56776897997204</v>
      </c>
      <c r="Q43">
        <v>48.905449464368886</v>
      </c>
      <c r="R43">
        <v>60.549604098742428</v>
      </c>
      <c r="S43">
        <v>34.932463903120635</v>
      </c>
      <c r="T43">
        <v>30.274802049371214</v>
      </c>
      <c r="U43">
        <v>41.91895668374476</v>
      </c>
      <c r="V43">
        <v>2.3288309268747089</v>
      </c>
      <c r="W43">
        <v>16.301816488122963</v>
      </c>
      <c r="X43">
        <v>27.945971122496506</v>
      </c>
      <c r="Y43">
        <v>16.301816488122963</v>
      </c>
      <c r="Z43">
        <v>32.603632976245926</v>
      </c>
      <c r="AA43">
        <v>95.48206800186307</v>
      </c>
      <c r="AB43">
        <v>83.83791336748952</v>
      </c>
      <c r="AC43">
        <v>179.31998136935258</v>
      </c>
      <c r="AD43">
        <v>128.08570097810897</v>
      </c>
      <c r="AE43">
        <v>221.23893805309734</v>
      </c>
      <c r="AF43">
        <v>153.70284117373077</v>
      </c>
      <c r="AG43">
        <v>249.18490917559384</v>
      </c>
      <c r="AH43">
        <v>349.32463903120635</v>
      </c>
      <c r="AI43">
        <v>319.04983698183514</v>
      </c>
      <c r="AJ43">
        <v>281.78854215183975</v>
      </c>
      <c r="AK43">
        <v>0</v>
      </c>
      <c r="AL43">
        <v>0</v>
      </c>
      <c r="AM43">
        <v>0</v>
      </c>
      <c r="AN43">
        <v>0</v>
      </c>
      <c r="AO4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5563-AFF6-4D33-9A35-B78CEABE2BC3}">
  <dimension ref="A1:BJ43"/>
  <sheetViews>
    <sheetView topLeftCell="E1" zoomScale="77" workbookViewId="0">
      <selection activeCell="J16" sqref="J16:K23"/>
    </sheetView>
  </sheetViews>
  <sheetFormatPr baseColWidth="10" defaultRowHeight="14.4" x14ac:dyDescent="0.3"/>
  <cols>
    <col min="2" max="2" width="19.77734375" bestFit="1" customWidth="1"/>
    <col min="10" max="10" width="19.109375" bestFit="1" customWidth="1"/>
  </cols>
  <sheetData>
    <row r="1" spans="1:18" x14ac:dyDescent="0.3">
      <c r="B1">
        <v>2020</v>
      </c>
      <c r="C1">
        <v>2021</v>
      </c>
      <c r="D1">
        <v>2022</v>
      </c>
      <c r="E1">
        <v>2023</v>
      </c>
      <c r="F1">
        <v>2024</v>
      </c>
    </row>
    <row r="2" spans="1:18" x14ac:dyDescent="0.3">
      <c r="A2" s="1" t="s">
        <v>5</v>
      </c>
      <c r="B2">
        <f>'Todos los Datos (2)'!B2*Hoja1!$K$17+'Todos los Datos (2)'!G2*Hoja1!$K$18+'Todos los Datos (2)'!L2*Hoja1!$K$19+'Todos los Datos (2)'!Q2*Hoja1!$K$20+'Todos los Datos (2)'!V2*Hoja1!$K$21+'Todos los Datos (2)'!AA2*Hoja1!$K$22+'Todos los Datos (2)'!AF2*Hoja1!$K$23+'Todos los Datos (2)'!AK2*Hoja1!$K$24</f>
        <v>489.366037019202</v>
      </c>
      <c r="C2">
        <f>'Todos los Datos (2)'!C2*Hoja1!$K$17+'Todos los Datos (2)'!H2*Hoja1!$K$18+'Todos los Datos (2)'!M2*Hoja1!$K$19+'Todos los Datos (2)'!R2*Hoja1!$K$20+'Todos los Datos (2)'!W2*Hoja1!$K$21+'Todos los Datos (2)'!AB2*Hoja1!$K$22+'Todos los Datos (2)'!AG2*Hoja1!$K$23+'Todos los Datos (2)'!AL2*Hoja1!$K$24</f>
        <v>599.9971193790866</v>
      </c>
      <c r="D2">
        <f>'Todos los Datos (2)'!D2*Hoja1!$K$17+'Todos los Datos (2)'!I2*Hoja1!$K$18+'Todos los Datos (2)'!N2*Hoja1!$K$19+'Todos los Datos (2)'!S2*Hoja1!$K$20+'Todos los Datos (2)'!X2*Hoja1!$K$21+'Todos los Datos (2)'!AC2*Hoja1!$K$22+'Todos los Datos (2)'!AH2*Hoja1!$K$23+'Todos los Datos (2)'!AM2*Hoja1!$K$24</f>
        <v>658.36706114535104</v>
      </c>
      <c r="E2">
        <f>'Todos los Datos (2)'!E2*Hoja1!$K$17+'Todos los Datos (2)'!J2*Hoja1!$K$18+'Todos los Datos (2)'!O2*Hoja1!$K$19+'Todos los Datos (2)'!T2*Hoja1!$K$20+'Todos los Datos (2)'!Y2*Hoja1!$K$21+'Todos los Datos (2)'!AD2*Hoja1!$K$22+'Todos los Datos (2)'!AI2*Hoja1!$K$23+'Todos los Datos (2)'!AN2*Hoja1!$K$24</f>
        <v>627.77554524057075</v>
      </c>
      <c r="F2">
        <f>'Todos los Datos (2)'!F2*Hoja1!$K$17+'Todos los Datos (2)'!K2*Hoja1!$K$18+'Todos los Datos (2)'!P2*Hoja1!$K$19+'Todos los Datos (2)'!U2*Hoja1!$K$20+'Todos los Datos (2)'!Z2*Hoja1!$K$21+'Todos los Datos (2)'!AE2*Hoja1!$K$22+'Todos los Datos (2)'!AJ2*Hoja1!$K$23+'Todos los Datos (2)'!AO2*Hoja1!$K$24</f>
        <v>621.9009438841299</v>
      </c>
    </row>
    <row r="3" spans="1:18" x14ac:dyDescent="0.3">
      <c r="A3" s="1" t="s">
        <v>39</v>
      </c>
      <c r="B3">
        <f>'Todos los Datos (2)'!B3*Hoja1!$K$17+'Todos los Datos (2)'!G3*Hoja1!$K$18+'Todos los Datos (2)'!L3*Hoja1!$K$19+'Todos los Datos (2)'!Q3*Hoja1!$K$20+'Todos los Datos (2)'!V3*Hoja1!$K$21+'Todos los Datos (2)'!AA3*Hoja1!$K$22+'Todos los Datos (2)'!AF3*Hoja1!$K$23+'Todos los Datos (2)'!AK3*Hoja1!$K$24</f>
        <v>229.03479981817298</v>
      </c>
      <c r="C3">
        <f>'Todos los Datos (2)'!C3*Hoja1!$K$17+'Todos los Datos (2)'!H3*Hoja1!$K$18+'Todos los Datos (2)'!M3*Hoja1!$K$19+'Todos los Datos (2)'!R3*Hoja1!$K$20+'Todos los Datos (2)'!W3*Hoja1!$K$21+'Todos los Datos (2)'!AB3*Hoja1!$K$22+'Todos los Datos (2)'!AG3*Hoja1!$K$23+'Todos los Datos (2)'!AL3*Hoja1!$K$24</f>
        <v>260.95522307330214</v>
      </c>
      <c r="D3">
        <f>'Todos los Datos (2)'!D3*Hoja1!$K$17+'Todos los Datos (2)'!I3*Hoja1!$K$18+'Todos los Datos (2)'!N3*Hoja1!$K$19+'Todos los Datos (2)'!S3*Hoja1!$K$20+'Todos los Datos (2)'!X3*Hoja1!$K$21+'Todos los Datos (2)'!AC3*Hoja1!$K$22+'Todos los Datos (2)'!AH3*Hoja1!$K$23+'Todos los Datos (2)'!AM3*Hoja1!$K$24</f>
        <v>231.84047368966679</v>
      </c>
      <c r="E3">
        <f>'Todos los Datos (2)'!E3*Hoja1!$K$17+'Todos los Datos (2)'!J3*Hoja1!$K$18+'Todos los Datos (2)'!O3*Hoja1!$K$19+'Todos los Datos (2)'!T3*Hoja1!$K$20+'Todos los Datos (2)'!Y3*Hoja1!$K$21+'Todos los Datos (2)'!AD3*Hoja1!$K$22+'Todos los Datos (2)'!AI3*Hoja1!$K$23+'Todos los Datos (2)'!AN3*Hoja1!$K$24</f>
        <v>187.39011369267519</v>
      </c>
      <c r="F3">
        <f>'Todos los Datos (2)'!F3*Hoja1!$K$17+'Todos los Datos (2)'!K3*Hoja1!$K$18+'Todos los Datos (2)'!P3*Hoja1!$K$19+'Todos los Datos (2)'!U3*Hoja1!$K$20+'Todos los Datos (2)'!Z3*Hoja1!$K$21+'Todos los Datos (2)'!AE3*Hoja1!$K$22+'Todos los Datos (2)'!AJ3*Hoja1!$K$23+'Todos los Datos (2)'!AO3*Hoja1!$K$24</f>
        <v>293.24003292779446</v>
      </c>
    </row>
    <row r="4" spans="1:18" x14ac:dyDescent="0.3">
      <c r="A4" s="1" t="s">
        <v>40</v>
      </c>
      <c r="B4">
        <f>'Todos los Datos (2)'!B4*Hoja1!$K$17+'Todos los Datos (2)'!G4*Hoja1!$K$18+'Todos los Datos (2)'!L4*Hoja1!$K$19+'Todos los Datos (2)'!Q4*Hoja1!$K$20+'Todos los Datos (2)'!V4*Hoja1!$K$21+'Todos los Datos (2)'!AA4*Hoja1!$K$22+'Todos los Datos (2)'!AF4*Hoja1!$K$23+'Todos los Datos (2)'!AK4*Hoja1!$K$24</f>
        <v>132.8841652027308</v>
      </c>
      <c r="C4">
        <f>'Todos los Datos (2)'!C4*Hoja1!$K$17+'Todos los Datos (2)'!H4*Hoja1!$K$18+'Todos los Datos (2)'!M4*Hoja1!$K$19+'Todos los Datos (2)'!R4*Hoja1!$K$20+'Todos los Datos (2)'!W4*Hoja1!$K$21+'Todos los Datos (2)'!AB4*Hoja1!$K$22+'Todos los Datos (2)'!AG4*Hoja1!$K$23+'Todos los Datos (2)'!AL4*Hoja1!$K$24</f>
        <v>196.3792939315428</v>
      </c>
      <c r="D4">
        <f>'Todos los Datos (2)'!D4*Hoja1!$K$17+'Todos los Datos (2)'!I4*Hoja1!$K$18+'Todos los Datos (2)'!N4*Hoja1!$K$19+'Todos los Datos (2)'!S4*Hoja1!$K$20+'Todos los Datos (2)'!X4*Hoja1!$K$21+'Todos los Datos (2)'!AC4*Hoja1!$K$22+'Todos los Datos (2)'!AH4*Hoja1!$K$23+'Todos los Datos (2)'!AM4*Hoja1!$K$24</f>
        <v>183.43467002793011</v>
      </c>
      <c r="E4">
        <f>'Todos los Datos (2)'!E4*Hoja1!$K$17+'Todos los Datos (2)'!J4*Hoja1!$K$18+'Todos los Datos (2)'!O4*Hoja1!$K$19+'Todos los Datos (2)'!T4*Hoja1!$K$20+'Todos los Datos (2)'!Y4*Hoja1!$K$21+'Todos los Datos (2)'!AD4*Hoja1!$K$22+'Todos los Datos (2)'!AI4*Hoja1!$K$23+'Todos los Datos (2)'!AN4*Hoja1!$K$24</f>
        <v>241.20209003401277</v>
      </c>
      <c r="F4">
        <f>'Todos los Datos (2)'!F4*Hoja1!$K$17+'Todos los Datos (2)'!K4*Hoja1!$K$18+'Todos los Datos (2)'!P4*Hoja1!$K$19+'Todos los Datos (2)'!U4*Hoja1!$K$20+'Todos los Datos (2)'!Z4*Hoja1!$K$21+'Todos los Datos (2)'!AE4*Hoja1!$K$22+'Todos los Datos (2)'!AJ4*Hoja1!$K$23+'Todos los Datos (2)'!AO4*Hoja1!$K$24</f>
        <v>185.35654317540389</v>
      </c>
    </row>
    <row r="5" spans="1:18" x14ac:dyDescent="0.3">
      <c r="A5" s="1" t="s">
        <v>33</v>
      </c>
      <c r="B5">
        <f>'Todos los Datos (2)'!B5*Hoja1!$K$17+'Todos los Datos (2)'!G5*Hoja1!$K$18+'Todos los Datos (2)'!L5*Hoja1!$K$19+'Todos los Datos (2)'!Q5*Hoja1!$K$20+'Todos los Datos (2)'!V5*Hoja1!$K$21+'Todos los Datos (2)'!AA5*Hoja1!$K$22+'Todos los Datos (2)'!AF5*Hoja1!$K$23+'Todos los Datos (2)'!AK5*Hoja1!$K$24</f>
        <v>68.447361065615041</v>
      </c>
      <c r="C5">
        <f>'Todos los Datos (2)'!C5*Hoja1!$K$17+'Todos los Datos (2)'!H5*Hoja1!$K$18+'Todos los Datos (2)'!M5*Hoja1!$K$19+'Todos los Datos (2)'!R5*Hoja1!$K$20+'Todos los Datos (2)'!W5*Hoja1!$K$21+'Todos los Datos (2)'!AB5*Hoja1!$K$22+'Todos los Datos (2)'!AG5*Hoja1!$K$23+'Todos los Datos (2)'!AL5*Hoja1!$K$24</f>
        <v>101.04396232257588</v>
      </c>
      <c r="D5">
        <f>'Todos los Datos (2)'!D5*Hoja1!$K$17+'Todos los Datos (2)'!I5*Hoja1!$K$18+'Todos los Datos (2)'!N5*Hoja1!$K$19+'Todos los Datos (2)'!S5*Hoja1!$K$20+'Todos los Datos (2)'!X5*Hoja1!$K$21+'Todos los Datos (2)'!AC5*Hoja1!$K$22+'Todos los Datos (2)'!AH5*Hoja1!$K$23+'Todos los Datos (2)'!AM5*Hoja1!$K$24</f>
        <v>134.97895205722611</v>
      </c>
      <c r="E5">
        <f>'Todos los Datos (2)'!E5*Hoja1!$K$17+'Todos los Datos (2)'!J5*Hoja1!$K$18+'Todos los Datos (2)'!O5*Hoja1!$K$19+'Todos los Datos (2)'!T5*Hoja1!$K$20+'Todos los Datos (2)'!Y5*Hoja1!$K$21+'Todos los Datos (2)'!AD5*Hoja1!$K$22+'Todos los Datos (2)'!AI5*Hoja1!$K$23+'Todos los Datos (2)'!AN5*Hoja1!$K$24</f>
        <v>129.73198594611603</v>
      </c>
      <c r="F5">
        <f>'Todos los Datos (2)'!F5*Hoja1!$K$17+'Todos los Datos (2)'!K5*Hoja1!$K$18+'Todos los Datos (2)'!P5*Hoja1!$K$19+'Todos los Datos (2)'!U5*Hoja1!$K$20+'Todos los Datos (2)'!Z5*Hoja1!$K$21+'Todos los Datos (2)'!AE5*Hoja1!$K$22+'Todos los Datos (2)'!AJ5*Hoja1!$K$23+'Todos los Datos (2)'!AO5*Hoja1!$K$24</f>
        <v>104.2573413488456</v>
      </c>
    </row>
    <row r="6" spans="1:18" x14ac:dyDescent="0.3">
      <c r="A6" s="1" t="s">
        <v>6</v>
      </c>
      <c r="B6">
        <f>'Todos los Datos (2)'!B6*Hoja1!$K$17+'Todos los Datos (2)'!G6*Hoja1!$K$18+'Todos los Datos (2)'!L6*Hoja1!$K$19+'Todos los Datos (2)'!Q6*Hoja1!$K$20+'Todos los Datos (2)'!V6*Hoja1!$K$21+'Todos los Datos (2)'!AA6*Hoja1!$K$22+'Todos los Datos (2)'!AF6*Hoja1!$K$23+'Todos los Datos (2)'!AK6*Hoja1!$K$24</f>
        <v>123.60570967360098</v>
      </c>
      <c r="C6">
        <f>'Todos los Datos (2)'!C6*Hoja1!$K$17+'Todos los Datos (2)'!H6*Hoja1!$K$18+'Todos los Datos (2)'!M6*Hoja1!$K$19+'Todos los Datos (2)'!R6*Hoja1!$K$20+'Todos los Datos (2)'!W6*Hoja1!$K$21+'Todos los Datos (2)'!AB6*Hoja1!$K$22+'Todos los Datos (2)'!AG6*Hoja1!$K$23+'Todos los Datos (2)'!AL6*Hoja1!$K$24</f>
        <v>194.56313689377745</v>
      </c>
      <c r="D6">
        <f>'Todos los Datos (2)'!D6*Hoja1!$K$17+'Todos los Datos (2)'!I6*Hoja1!$K$18+'Todos los Datos (2)'!N6*Hoja1!$K$19+'Todos los Datos (2)'!S6*Hoja1!$K$20+'Todos los Datos (2)'!X6*Hoja1!$K$21+'Todos los Datos (2)'!AC6*Hoja1!$K$22+'Todos los Datos (2)'!AH6*Hoja1!$K$23+'Todos los Datos (2)'!AM6*Hoja1!$K$24</f>
        <v>68.3637647180568</v>
      </c>
      <c r="E6">
        <f>'Todos los Datos (2)'!E6*Hoja1!$K$17+'Todos los Datos (2)'!J6*Hoja1!$K$18+'Todos los Datos (2)'!O6*Hoja1!$K$19+'Todos los Datos (2)'!T6*Hoja1!$K$20+'Todos los Datos (2)'!Y6*Hoja1!$K$21+'Todos los Datos (2)'!AD6*Hoja1!$K$22+'Todos los Datos (2)'!AI6*Hoja1!$K$23+'Todos los Datos (2)'!AN6*Hoja1!$K$24</f>
        <v>61.536606210833298</v>
      </c>
      <c r="F6">
        <f>'Todos los Datos (2)'!F6*Hoja1!$K$17+'Todos los Datos (2)'!K6*Hoja1!$K$18+'Todos los Datos (2)'!P6*Hoja1!$K$19+'Todos los Datos (2)'!U6*Hoja1!$K$20+'Todos los Datos (2)'!Z6*Hoja1!$K$21+'Todos los Datos (2)'!AE6*Hoja1!$K$22+'Todos los Datos (2)'!AJ6*Hoja1!$K$23+'Todos los Datos (2)'!AO6*Hoja1!$K$24</f>
        <v>69.452140972632364</v>
      </c>
    </row>
    <row r="7" spans="1:18" x14ac:dyDescent="0.3">
      <c r="A7" s="1" t="s">
        <v>41</v>
      </c>
      <c r="B7">
        <f>'Todos los Datos (2)'!B7*Hoja1!$K$17+'Todos los Datos (2)'!G7*Hoja1!$K$18+'Todos los Datos (2)'!L7*Hoja1!$K$19+'Todos los Datos (2)'!Q7*Hoja1!$K$20+'Todos los Datos (2)'!V7*Hoja1!$K$21+'Todos los Datos (2)'!AA7*Hoja1!$K$22+'Todos los Datos (2)'!AF7*Hoja1!$K$23+'Todos los Datos (2)'!AK7*Hoja1!$K$24</f>
        <v>78.162230802237971</v>
      </c>
      <c r="C7">
        <f>'Todos los Datos (2)'!C7*Hoja1!$K$17+'Todos los Datos (2)'!H7*Hoja1!$K$18+'Todos los Datos (2)'!M7*Hoja1!$K$19+'Todos los Datos (2)'!R7*Hoja1!$K$20+'Todos los Datos (2)'!W7*Hoja1!$K$21+'Todos los Datos (2)'!AB7*Hoja1!$K$22+'Todos los Datos (2)'!AG7*Hoja1!$K$23+'Todos los Datos (2)'!AL7*Hoja1!$K$24</f>
        <v>94.807833641398162</v>
      </c>
      <c r="D7">
        <f>'Todos los Datos (2)'!D7*Hoja1!$K$17+'Todos los Datos (2)'!I7*Hoja1!$K$18+'Todos los Datos (2)'!N7*Hoja1!$K$19+'Todos los Datos (2)'!S7*Hoja1!$K$20+'Todos los Datos (2)'!X7*Hoja1!$K$21+'Todos los Datos (2)'!AC7*Hoja1!$K$22+'Todos los Datos (2)'!AH7*Hoja1!$K$23+'Todos los Datos (2)'!AM7*Hoja1!$K$24</f>
        <v>158.1501948587989</v>
      </c>
      <c r="E7">
        <f>'Todos los Datos (2)'!E7*Hoja1!$K$17+'Todos los Datos (2)'!J7*Hoja1!$K$18+'Todos los Datos (2)'!O7*Hoja1!$K$19+'Todos los Datos (2)'!T7*Hoja1!$K$20+'Todos los Datos (2)'!Y7*Hoja1!$K$21+'Todos los Datos (2)'!AD7*Hoja1!$K$22+'Todos los Datos (2)'!AI7*Hoja1!$K$23+'Todos los Datos (2)'!AN7*Hoja1!$K$24</f>
        <v>180.05673315048932</v>
      </c>
      <c r="F7">
        <f>'Todos los Datos (2)'!F7*Hoja1!$K$17+'Todos los Datos (2)'!K7*Hoja1!$K$18+'Todos los Datos (2)'!P7*Hoja1!$K$19+'Todos los Datos (2)'!U7*Hoja1!$K$20+'Todos los Datos (2)'!Z7*Hoja1!$K$21+'Todos los Datos (2)'!AE7*Hoja1!$K$22+'Todos los Datos (2)'!AJ7*Hoja1!$K$23+'Todos los Datos (2)'!AO7*Hoja1!$K$24</f>
        <v>135.63503243219526</v>
      </c>
    </row>
    <row r="8" spans="1:18" x14ac:dyDescent="0.3">
      <c r="A8" s="1" t="s">
        <v>34</v>
      </c>
      <c r="B8">
        <f>'Todos los Datos (2)'!B8*Hoja1!$K$17+'Todos los Datos (2)'!G8*Hoja1!$K$18+'Todos los Datos (2)'!L8*Hoja1!$K$19+'Todos los Datos (2)'!Q8*Hoja1!$K$20+'Todos los Datos (2)'!V8*Hoja1!$K$21+'Todos los Datos (2)'!AA8*Hoja1!$K$22+'Todos los Datos (2)'!AF8*Hoja1!$K$23+'Todos los Datos (2)'!AK8*Hoja1!$K$24</f>
        <v>171.95079727766449</v>
      </c>
      <c r="C8">
        <f>'Todos los Datos (2)'!C8*Hoja1!$K$17+'Todos los Datos (2)'!H8*Hoja1!$K$18+'Todos los Datos (2)'!M8*Hoja1!$K$19+'Todos los Datos (2)'!R8*Hoja1!$K$20+'Todos los Datos (2)'!W8*Hoja1!$K$21+'Todos los Datos (2)'!AB8*Hoja1!$K$22+'Todos los Datos (2)'!AG8*Hoja1!$K$23+'Todos los Datos (2)'!AL8*Hoja1!$K$24</f>
        <v>195.63441740435553</v>
      </c>
      <c r="D8">
        <f>'Todos los Datos (2)'!D8*Hoja1!$K$17+'Todos los Datos (2)'!I8*Hoja1!$K$18+'Todos los Datos (2)'!N8*Hoja1!$K$19+'Todos los Datos (2)'!S8*Hoja1!$K$20+'Todos los Datos (2)'!X8*Hoja1!$K$21+'Todos los Datos (2)'!AC8*Hoja1!$K$22+'Todos los Datos (2)'!AH8*Hoja1!$K$23+'Todos los Datos (2)'!AM8*Hoja1!$K$24</f>
        <v>176.54359905541239</v>
      </c>
      <c r="E8">
        <f>'Todos los Datos (2)'!E8*Hoja1!$K$17+'Todos los Datos (2)'!J8*Hoja1!$K$18+'Todos los Datos (2)'!O8*Hoja1!$K$19+'Todos los Datos (2)'!T8*Hoja1!$K$20+'Todos los Datos (2)'!Y8*Hoja1!$K$21+'Todos los Datos (2)'!AD8*Hoja1!$K$22+'Todos los Datos (2)'!AI8*Hoja1!$K$23+'Todos los Datos (2)'!AN8*Hoja1!$K$24</f>
        <v>184.37683184898941</v>
      </c>
      <c r="F8">
        <f>'Todos los Datos (2)'!F8*Hoja1!$K$17+'Todos los Datos (2)'!K8*Hoja1!$K$18+'Todos los Datos (2)'!P8*Hoja1!$K$19+'Todos los Datos (2)'!U8*Hoja1!$K$20+'Todos los Datos (2)'!Z8*Hoja1!$K$21+'Todos los Datos (2)'!AE8*Hoja1!$K$22+'Todos los Datos (2)'!AJ8*Hoja1!$K$23+'Todos los Datos (2)'!AO8*Hoja1!$K$24</f>
        <v>157.63120407946221</v>
      </c>
    </row>
    <row r="9" spans="1:18" x14ac:dyDescent="0.3">
      <c r="A9" s="1" t="s">
        <v>35</v>
      </c>
      <c r="B9">
        <f>'Todos los Datos (2)'!B9*Hoja1!$K$17+'Todos los Datos (2)'!G9*Hoja1!$K$18+'Todos los Datos (2)'!L9*Hoja1!$K$19+'Todos los Datos (2)'!Q9*Hoja1!$K$20+'Todos los Datos (2)'!V9*Hoja1!$K$21+'Todos los Datos (2)'!AA9*Hoja1!$K$22+'Todos los Datos (2)'!AF9*Hoja1!$K$23+'Todos los Datos (2)'!AK9*Hoja1!$K$24</f>
        <v>242.79617839341779</v>
      </c>
      <c r="C9">
        <f>'Todos los Datos (2)'!C9*Hoja1!$K$17+'Todos los Datos (2)'!H9*Hoja1!$K$18+'Todos los Datos (2)'!M9*Hoja1!$K$19+'Todos los Datos (2)'!R9*Hoja1!$K$20+'Todos los Datos (2)'!W9*Hoja1!$K$21+'Todos los Datos (2)'!AB9*Hoja1!$K$22+'Todos los Datos (2)'!AG9*Hoja1!$K$23+'Todos los Datos (2)'!AL9*Hoja1!$K$24</f>
        <v>300.26413663836126</v>
      </c>
      <c r="D9">
        <f>'Todos los Datos (2)'!D9*Hoja1!$K$17+'Todos los Datos (2)'!I9*Hoja1!$K$18+'Todos los Datos (2)'!N9*Hoja1!$K$19+'Todos los Datos (2)'!S9*Hoja1!$K$20+'Todos los Datos (2)'!X9*Hoja1!$K$21+'Todos los Datos (2)'!AC9*Hoja1!$K$22+'Todos los Datos (2)'!AH9*Hoja1!$K$23+'Todos los Datos (2)'!AM9*Hoja1!$K$24</f>
        <v>361.88580215129372</v>
      </c>
      <c r="E9">
        <f>'Todos los Datos (2)'!E9*Hoja1!$K$17+'Todos los Datos (2)'!J9*Hoja1!$K$18+'Todos los Datos (2)'!O9*Hoja1!$K$19+'Todos los Datos (2)'!T9*Hoja1!$K$20+'Todos los Datos (2)'!Y9*Hoja1!$K$21+'Todos los Datos (2)'!AD9*Hoja1!$K$22+'Todos los Datos (2)'!AI9*Hoja1!$K$23+'Todos los Datos (2)'!AN9*Hoja1!$K$24</f>
        <v>372.4616776274367</v>
      </c>
      <c r="F9">
        <f>'Todos los Datos (2)'!F9*Hoja1!$K$17+'Todos los Datos (2)'!K9*Hoja1!$K$18+'Todos los Datos (2)'!P9*Hoja1!$K$19+'Todos los Datos (2)'!U9*Hoja1!$K$20+'Todos los Datos (2)'!Z9*Hoja1!$K$21+'Todos los Datos (2)'!AE9*Hoja1!$K$22+'Todos los Datos (2)'!AJ9*Hoja1!$K$23+'Todos los Datos (2)'!AO9*Hoja1!$K$24</f>
        <v>362.68046413426953</v>
      </c>
    </row>
    <row r="10" spans="1:18" x14ac:dyDescent="0.3">
      <c r="A10" s="1" t="s">
        <v>36</v>
      </c>
      <c r="B10">
        <f>'Todos los Datos (2)'!B10*Hoja1!$K$17+'Todos los Datos (2)'!G10*Hoja1!$K$18+'Todos los Datos (2)'!L10*Hoja1!$K$19+'Todos los Datos (2)'!Q10*Hoja1!$K$20+'Todos los Datos (2)'!V10*Hoja1!$K$21+'Todos los Datos (2)'!AA10*Hoja1!$K$22+'Todos los Datos (2)'!AF10*Hoja1!$K$23+'Todos los Datos (2)'!AK10*Hoja1!$K$24</f>
        <v>119.71600125248605</v>
      </c>
      <c r="C10">
        <f>'Todos los Datos (2)'!C10*Hoja1!$K$17+'Todos los Datos (2)'!H10*Hoja1!$K$18+'Todos los Datos (2)'!M10*Hoja1!$K$19+'Todos los Datos (2)'!R10*Hoja1!$K$20+'Todos los Datos (2)'!W10*Hoja1!$K$21+'Todos los Datos (2)'!AB10*Hoja1!$K$22+'Todos los Datos (2)'!AG10*Hoja1!$K$23+'Todos los Datos (2)'!AL10*Hoja1!$K$24</f>
        <v>199.08430976779448</v>
      </c>
      <c r="D10">
        <f>'Todos los Datos (2)'!D10*Hoja1!$K$17+'Todos los Datos (2)'!I10*Hoja1!$K$18+'Todos los Datos (2)'!N10*Hoja1!$K$19+'Todos los Datos (2)'!S10*Hoja1!$K$20+'Todos los Datos (2)'!X10*Hoja1!$K$21+'Todos los Datos (2)'!AC10*Hoja1!$K$22+'Todos los Datos (2)'!AH10*Hoja1!$K$23+'Todos los Datos (2)'!AM10*Hoja1!$K$24</f>
        <v>212.36509719254843</v>
      </c>
      <c r="E10">
        <f>'Todos los Datos (2)'!E10*Hoja1!$K$17+'Todos los Datos (2)'!J10*Hoja1!$K$18+'Todos los Datos (2)'!O10*Hoja1!$K$19+'Todos los Datos (2)'!T10*Hoja1!$K$20+'Todos los Datos (2)'!Y10*Hoja1!$K$21+'Todos los Datos (2)'!AD10*Hoja1!$K$22+'Todos los Datos (2)'!AI10*Hoja1!$K$23+'Todos los Datos (2)'!AN10*Hoja1!$K$24</f>
        <v>199.44166856096382</v>
      </c>
      <c r="F10">
        <f>'Todos los Datos (2)'!F10*Hoja1!$K$17+'Todos los Datos (2)'!K10*Hoja1!$K$18+'Todos los Datos (2)'!P10*Hoja1!$K$19+'Todos los Datos (2)'!U10*Hoja1!$K$20+'Todos los Datos (2)'!Z10*Hoja1!$K$21+'Todos los Datos (2)'!AE10*Hoja1!$K$22+'Todos los Datos (2)'!AJ10*Hoja1!$K$23+'Todos los Datos (2)'!AO10*Hoja1!$K$24</f>
        <v>221.85775580242341</v>
      </c>
    </row>
    <row r="11" spans="1:18" x14ac:dyDescent="0.3">
      <c r="A11" s="1" t="s">
        <v>7</v>
      </c>
      <c r="B11">
        <f>'Todos los Datos (2)'!B11*Hoja1!$K$17+'Todos los Datos (2)'!G11*Hoja1!$K$18+'Todos los Datos (2)'!L11*Hoja1!$K$19+'Todos los Datos (2)'!Q11*Hoja1!$K$20+'Todos los Datos (2)'!V11*Hoja1!$K$21+'Todos los Datos (2)'!AA11*Hoja1!$K$22+'Todos los Datos (2)'!AF11*Hoja1!$K$23+'Todos los Datos (2)'!AK11*Hoja1!$K$24</f>
        <v>176.03415173272174</v>
      </c>
      <c r="C11">
        <f>'Todos los Datos (2)'!C11*Hoja1!$K$17+'Todos los Datos (2)'!H11*Hoja1!$K$18+'Todos los Datos (2)'!M11*Hoja1!$K$19+'Todos los Datos (2)'!R11*Hoja1!$K$20+'Todos los Datos (2)'!W11*Hoja1!$K$21+'Todos los Datos (2)'!AB11*Hoja1!$K$22+'Todos los Datos (2)'!AG11*Hoja1!$K$23+'Todos los Datos (2)'!AL11*Hoja1!$K$24</f>
        <v>175.7466452960316</v>
      </c>
      <c r="D11">
        <f>'Todos los Datos (2)'!D11*Hoja1!$K$17+'Todos los Datos (2)'!I11*Hoja1!$K$18+'Todos los Datos (2)'!N11*Hoja1!$K$19+'Todos los Datos (2)'!S11*Hoja1!$K$20+'Todos los Datos (2)'!X11*Hoja1!$K$21+'Todos los Datos (2)'!AC11*Hoja1!$K$22+'Todos los Datos (2)'!AH11*Hoja1!$K$23+'Todos los Datos (2)'!AM11*Hoja1!$K$24</f>
        <v>215.52725979091309</v>
      </c>
      <c r="E11">
        <f>'Todos los Datos (2)'!E11*Hoja1!$K$17+'Todos los Datos (2)'!J11*Hoja1!$K$18+'Todos los Datos (2)'!O11*Hoja1!$K$19+'Todos los Datos (2)'!T11*Hoja1!$K$20+'Todos los Datos (2)'!Y11*Hoja1!$K$21+'Todos los Datos (2)'!AD11*Hoja1!$K$22+'Todos los Datos (2)'!AI11*Hoja1!$K$23+'Todos los Datos (2)'!AN11*Hoja1!$K$24</f>
        <v>200.27979462891523</v>
      </c>
      <c r="F11">
        <f>'Todos los Datos (2)'!F11*Hoja1!$K$17+'Todos los Datos (2)'!K11*Hoja1!$K$18+'Todos los Datos (2)'!P11*Hoja1!$K$19+'Todos los Datos (2)'!U11*Hoja1!$K$20+'Todos los Datos (2)'!Z11*Hoja1!$K$21+'Todos los Datos (2)'!AE11*Hoja1!$K$22+'Todos los Datos (2)'!AJ11*Hoja1!$K$23+'Todos los Datos (2)'!AO11*Hoja1!$K$24</f>
        <v>185.83455285400947</v>
      </c>
    </row>
    <row r="12" spans="1:18" x14ac:dyDescent="0.3">
      <c r="A12" s="1" t="s">
        <v>102</v>
      </c>
      <c r="B12">
        <f>'Todos los Datos (2)'!B12*Hoja1!$K$17+'Todos los Datos (2)'!G12*Hoja1!$K$18+'Todos los Datos (2)'!L12*Hoja1!$K$19+'Todos los Datos (2)'!Q12*Hoja1!$K$20+'Todos los Datos (2)'!V12*Hoja1!$K$21+'Todos los Datos (2)'!AA12*Hoja1!$K$22+'Todos los Datos (2)'!AF12*Hoja1!$K$23+'Todos los Datos (2)'!AK12*Hoja1!$K$24</f>
        <v>170.61349374281775</v>
      </c>
      <c r="C12">
        <f>'Todos los Datos (2)'!C12*Hoja1!$K$17+'Todos los Datos (2)'!H12*Hoja1!$K$18+'Todos los Datos (2)'!M12*Hoja1!$K$19+'Todos los Datos (2)'!R12*Hoja1!$K$20+'Todos los Datos (2)'!W12*Hoja1!$K$21+'Todos los Datos (2)'!AB12*Hoja1!$K$22+'Todos los Datos (2)'!AG12*Hoja1!$K$23+'Todos los Datos (2)'!AL12*Hoja1!$K$24</f>
        <v>266.64971884138856</v>
      </c>
      <c r="D12">
        <f>'Todos los Datos (2)'!D12*Hoja1!$K$17+'Todos los Datos (2)'!I12*Hoja1!$K$18+'Todos los Datos (2)'!N12*Hoja1!$K$19+'Todos los Datos (2)'!S12*Hoja1!$K$20+'Todos los Datos (2)'!X12*Hoja1!$K$21+'Todos los Datos (2)'!AC12*Hoja1!$K$22+'Todos los Datos (2)'!AH12*Hoja1!$K$23+'Todos los Datos (2)'!AM12*Hoja1!$K$24</f>
        <v>315.57819015484063</v>
      </c>
      <c r="E12">
        <f>'Todos los Datos (2)'!E12*Hoja1!$K$17+'Todos los Datos (2)'!J12*Hoja1!$K$18+'Todos los Datos (2)'!O12*Hoja1!$K$19+'Todos los Datos (2)'!T12*Hoja1!$K$20+'Todos los Datos (2)'!Y12*Hoja1!$K$21+'Todos los Datos (2)'!AD12*Hoja1!$K$22+'Todos los Datos (2)'!AI12*Hoja1!$K$23+'Todos los Datos (2)'!AN12*Hoja1!$K$24</f>
        <v>302.46081656813823</v>
      </c>
      <c r="F12">
        <f>'Todos los Datos (2)'!F12*Hoja1!$K$17+'Todos los Datos (2)'!K12*Hoja1!$K$18+'Todos los Datos (2)'!P12*Hoja1!$K$19+'Todos los Datos (2)'!U12*Hoja1!$K$20+'Todos los Datos (2)'!Z12*Hoja1!$K$21+'Todos los Datos (2)'!AE12*Hoja1!$K$22+'Todos los Datos (2)'!AJ12*Hoja1!$K$23+'Todos los Datos (2)'!AO12*Hoja1!$K$24</f>
        <v>274.70612550281589</v>
      </c>
    </row>
    <row r="13" spans="1:18" x14ac:dyDescent="0.3">
      <c r="A13" s="1" t="s">
        <v>9</v>
      </c>
      <c r="B13">
        <f>'Todos los Datos (2)'!B13*Hoja1!$K$17+'Todos los Datos (2)'!G13*Hoja1!$K$18+'Todos los Datos (2)'!L13*Hoja1!$K$19+'Todos los Datos (2)'!Q13*Hoja1!$K$20+'Todos los Datos (2)'!V13*Hoja1!$K$21+'Todos los Datos (2)'!AA13*Hoja1!$K$22+'Todos los Datos (2)'!AF13*Hoja1!$K$23+'Todos los Datos (2)'!AK13*Hoja1!$K$24</f>
        <v>314.23195215284989</v>
      </c>
      <c r="C13">
        <f>'Todos los Datos (2)'!C13*Hoja1!$K$17+'Todos los Datos (2)'!H13*Hoja1!$K$18+'Todos los Datos (2)'!M13*Hoja1!$K$19+'Todos los Datos (2)'!R13*Hoja1!$K$20+'Todos los Datos (2)'!W13*Hoja1!$K$21+'Todos los Datos (2)'!AB13*Hoja1!$K$22+'Todos los Datos (2)'!AG13*Hoja1!$K$23+'Todos los Datos (2)'!AL13*Hoja1!$K$24</f>
        <v>392.3482294176971</v>
      </c>
      <c r="D13">
        <f>'Todos los Datos (2)'!D13*Hoja1!$K$17+'Todos los Datos (2)'!I13*Hoja1!$K$18+'Todos los Datos (2)'!N13*Hoja1!$K$19+'Todos los Datos (2)'!S13*Hoja1!$K$20+'Todos los Datos (2)'!X13*Hoja1!$K$21+'Todos los Datos (2)'!AC13*Hoja1!$K$22+'Todos los Datos (2)'!AH13*Hoja1!$K$23+'Todos los Datos (2)'!AM13*Hoja1!$K$24</f>
        <v>434.71182764492733</v>
      </c>
      <c r="E13">
        <f>'Todos los Datos (2)'!E13*Hoja1!$K$17+'Todos los Datos (2)'!J13*Hoja1!$K$18+'Todos los Datos (2)'!O13*Hoja1!$K$19+'Todos los Datos (2)'!T13*Hoja1!$K$20+'Todos los Datos (2)'!Y13*Hoja1!$K$21+'Todos los Datos (2)'!AD13*Hoja1!$K$22+'Todos los Datos (2)'!AI13*Hoja1!$K$23+'Todos los Datos (2)'!AN13*Hoja1!$K$24</f>
        <v>421.29054162159235</v>
      </c>
      <c r="F13">
        <f>'Todos los Datos (2)'!F13*Hoja1!$K$17+'Todos los Datos (2)'!K13*Hoja1!$K$18+'Todos los Datos (2)'!P13*Hoja1!$K$19+'Todos los Datos (2)'!U13*Hoja1!$K$20+'Todos los Datos (2)'!Z13*Hoja1!$K$21+'Todos los Datos (2)'!AE13*Hoja1!$K$22+'Todos los Datos (2)'!AJ13*Hoja1!$K$23+'Todos los Datos (2)'!AO13*Hoja1!$K$24</f>
        <v>464.33515236040625</v>
      </c>
    </row>
    <row r="14" spans="1:18" x14ac:dyDescent="0.3">
      <c r="A14" s="1" t="s">
        <v>10</v>
      </c>
      <c r="B14">
        <f>'Todos los Datos (2)'!B14*Hoja1!$K$17+'Todos los Datos (2)'!G14*Hoja1!$K$18+'Todos los Datos (2)'!L14*Hoja1!$K$19+'Todos los Datos (2)'!Q14*Hoja1!$K$20+'Todos los Datos (2)'!V14*Hoja1!$K$21+'Todos los Datos (2)'!AA14*Hoja1!$K$22+'Todos los Datos (2)'!AF14*Hoja1!$K$23+'Todos los Datos (2)'!AK14*Hoja1!$K$24</f>
        <v>198.26550811340488</v>
      </c>
      <c r="C14">
        <f>'Todos los Datos (2)'!C14*Hoja1!$K$17+'Todos los Datos (2)'!H14*Hoja1!$K$18+'Todos los Datos (2)'!M14*Hoja1!$K$19+'Todos los Datos (2)'!R14*Hoja1!$K$20+'Todos los Datos (2)'!W14*Hoja1!$K$21+'Todos los Datos (2)'!AB14*Hoja1!$K$22+'Todos los Datos (2)'!AG14*Hoja1!$K$23+'Todos los Datos (2)'!AL14*Hoja1!$K$24</f>
        <v>230.66625938013681</v>
      </c>
      <c r="D14">
        <f>'Todos los Datos (2)'!D14*Hoja1!$K$17+'Todos los Datos (2)'!I14*Hoja1!$K$18+'Todos los Datos (2)'!N14*Hoja1!$K$19+'Todos los Datos (2)'!S14*Hoja1!$K$20+'Todos los Datos (2)'!X14*Hoja1!$K$21+'Todos los Datos (2)'!AC14*Hoja1!$K$22+'Todos los Datos (2)'!AH14*Hoja1!$K$23+'Todos los Datos (2)'!AM14*Hoja1!$K$24</f>
        <v>227.71930594983829</v>
      </c>
      <c r="E14">
        <f>'Todos los Datos (2)'!E14*Hoja1!$K$17+'Todos los Datos (2)'!J14*Hoja1!$K$18+'Todos los Datos (2)'!O14*Hoja1!$K$19+'Todos los Datos (2)'!T14*Hoja1!$K$20+'Todos los Datos (2)'!Y14*Hoja1!$K$21+'Todos los Datos (2)'!AD14*Hoja1!$K$22+'Todos los Datos (2)'!AI14*Hoja1!$K$23+'Todos los Datos (2)'!AN14*Hoja1!$K$24</f>
        <v>252.50014120192085</v>
      </c>
      <c r="F14">
        <f>'Todos los Datos (2)'!F14*Hoja1!$K$17+'Todos los Datos (2)'!K14*Hoja1!$K$18+'Todos los Datos (2)'!P14*Hoja1!$K$19+'Todos los Datos (2)'!U14*Hoja1!$K$20+'Todos los Datos (2)'!Z14*Hoja1!$K$21+'Todos los Datos (2)'!AE14*Hoja1!$K$22+'Todos los Datos (2)'!AJ14*Hoja1!$K$23+'Todos los Datos (2)'!AO14*Hoja1!$K$24</f>
        <v>250.30237288757877</v>
      </c>
      <c r="K14" s="9"/>
    </row>
    <row r="15" spans="1:18" ht="15" thickBot="1" x14ac:dyDescent="0.35">
      <c r="A15" s="1" t="s">
        <v>11</v>
      </c>
      <c r="B15">
        <f>'Todos los Datos (2)'!B15*Hoja1!$K$17+'Todos los Datos (2)'!G15*Hoja1!$K$18+'Todos los Datos (2)'!L15*Hoja1!$K$19+'Todos los Datos (2)'!Q15*Hoja1!$K$20+'Todos los Datos (2)'!V15*Hoja1!$K$21+'Todos los Datos (2)'!AA15*Hoja1!$K$22+'Todos los Datos (2)'!AF15*Hoja1!$K$23+'Todos los Datos (2)'!AK15*Hoja1!$K$24</f>
        <v>145.77624556420346</v>
      </c>
      <c r="C15">
        <f>'Todos los Datos (2)'!C15*Hoja1!$K$17+'Todos los Datos (2)'!H15*Hoja1!$K$18+'Todos los Datos (2)'!M15*Hoja1!$K$19+'Todos los Datos (2)'!R15*Hoja1!$K$20+'Todos los Datos (2)'!W15*Hoja1!$K$21+'Todos los Datos (2)'!AB15*Hoja1!$K$22+'Todos los Datos (2)'!AG15*Hoja1!$K$23+'Todos los Datos (2)'!AL15*Hoja1!$K$24</f>
        <v>183.07148040890073</v>
      </c>
      <c r="D15">
        <f>'Todos los Datos (2)'!D15*Hoja1!$K$17+'Todos los Datos (2)'!I15*Hoja1!$K$18+'Todos los Datos (2)'!N15*Hoja1!$K$19+'Todos los Datos (2)'!S15*Hoja1!$K$20+'Todos los Datos (2)'!X15*Hoja1!$K$21+'Todos los Datos (2)'!AC15*Hoja1!$K$22+'Todos los Datos (2)'!AH15*Hoja1!$K$23+'Todos los Datos (2)'!AM15*Hoja1!$K$24</f>
        <v>173.42277829688612</v>
      </c>
      <c r="E15">
        <f>'Todos los Datos (2)'!E15*Hoja1!$K$17+'Todos los Datos (2)'!J15*Hoja1!$K$18+'Todos los Datos (2)'!O15*Hoja1!$K$19+'Todos los Datos (2)'!T15*Hoja1!$K$20+'Todos los Datos (2)'!Y15*Hoja1!$K$21+'Todos los Datos (2)'!AD15*Hoja1!$K$22+'Todos los Datos (2)'!AI15*Hoja1!$K$23+'Todos los Datos (2)'!AN15*Hoja1!$K$24</f>
        <v>174.50029403919939</v>
      </c>
      <c r="F15">
        <f>'Todos los Datos (2)'!F15*Hoja1!$K$17+'Todos los Datos (2)'!K15*Hoja1!$K$18+'Todos los Datos (2)'!P15*Hoja1!$K$19+'Todos los Datos (2)'!U15*Hoja1!$K$20+'Todos los Datos (2)'!Z15*Hoja1!$K$21+'Todos los Datos (2)'!AE15*Hoja1!$K$22+'Todos los Datos (2)'!AJ15*Hoja1!$K$23+'Todos los Datos (2)'!AO15*Hoja1!$K$24</f>
        <v>149.29121343278842</v>
      </c>
      <c r="K15" cm="1">
        <f t="array" ref="K15:R15">TRANSPOSE(INDEX(IF(ISNUMBER(IFERROR(FIND(J17:J24,IF(IFERROR(FIND(B$1,'Todos los Datos (2)'!B1:AO1),0)&lt;&gt;0,'Todos los Datos (2)'!B1:AO1)),"")),1,0)*$K$17:$K$24,_xlfn.SEQUENCE(8),_xlfn.SEQUENCE(8)*5-4))</f>
        <v>8.8834166558848858E-4</v>
      </c>
      <c r="L15">
        <v>1.837315589343563E-2</v>
      </c>
      <c r="M15">
        <v>0.42496023238732389</v>
      </c>
      <c r="N15">
        <v>0.11221089961793768</v>
      </c>
      <c r="O15">
        <v>5.6231867720128684E-2</v>
      </c>
      <c r="P15">
        <v>1.110458858212284E-2</v>
      </c>
      <c r="Q15">
        <v>0.37623091413346282</v>
      </c>
      <c r="R15">
        <v>0</v>
      </c>
    </row>
    <row r="16" spans="1:18" x14ac:dyDescent="0.3">
      <c r="A16" s="1" t="s">
        <v>42</v>
      </c>
      <c r="B16">
        <f>'Todos los Datos (2)'!B16*Hoja1!$K$17+'Todos los Datos (2)'!G16*Hoja1!$K$18+'Todos los Datos (2)'!L16*Hoja1!$K$19+'Todos los Datos (2)'!Q16*Hoja1!$K$20+'Todos los Datos (2)'!V16*Hoja1!$K$21+'Todos los Datos (2)'!AA16*Hoja1!$K$22+'Todos los Datos (2)'!AF16*Hoja1!$K$23+'Todos los Datos (2)'!AK16*Hoja1!$K$24</f>
        <v>21.979661933396123</v>
      </c>
      <c r="C16">
        <f>'Todos los Datos (2)'!C16*Hoja1!$K$17+'Todos los Datos (2)'!H16*Hoja1!$K$18+'Todos los Datos (2)'!M16*Hoja1!$K$19+'Todos los Datos (2)'!R16*Hoja1!$K$20+'Todos los Datos (2)'!W16*Hoja1!$K$21+'Todos los Datos (2)'!AB16*Hoja1!$K$22+'Todos los Datos (2)'!AG16*Hoja1!$K$23+'Todos los Datos (2)'!AL16*Hoja1!$K$24</f>
        <v>45.501434335526447</v>
      </c>
      <c r="D16">
        <f>'Todos los Datos (2)'!D16*Hoja1!$K$17+'Todos los Datos (2)'!I16*Hoja1!$K$18+'Todos los Datos (2)'!N16*Hoja1!$K$19+'Todos los Datos (2)'!S16*Hoja1!$K$20+'Todos los Datos (2)'!X16*Hoja1!$K$21+'Todos los Datos (2)'!AC16*Hoja1!$K$22+'Todos los Datos (2)'!AH16*Hoja1!$K$23+'Todos los Datos (2)'!AM16*Hoja1!$K$24</f>
        <v>52.130748282087318</v>
      </c>
      <c r="E16">
        <f>'Todos los Datos (2)'!E16*Hoja1!$K$17+'Todos los Datos (2)'!J16*Hoja1!$K$18+'Todos los Datos (2)'!O16*Hoja1!$K$19+'Todos los Datos (2)'!T16*Hoja1!$K$20+'Todos los Datos (2)'!Y16*Hoja1!$K$21+'Todos los Datos (2)'!AD16*Hoja1!$K$22+'Todos los Datos (2)'!AI16*Hoja1!$K$23+'Todos los Datos (2)'!AN16*Hoja1!$K$24</f>
        <v>73.038101777740266</v>
      </c>
      <c r="F16">
        <f>'Todos los Datos (2)'!F16*Hoja1!$K$17+'Todos los Datos (2)'!K16*Hoja1!$K$18+'Todos los Datos (2)'!P16*Hoja1!$K$19+'Todos los Datos (2)'!U16*Hoja1!$K$20+'Todos los Datos (2)'!Z16*Hoja1!$K$21+'Todos los Datos (2)'!AE16*Hoja1!$K$22+'Todos los Datos (2)'!AJ16*Hoja1!$K$23+'Todos los Datos (2)'!AO16*Hoja1!$K$24</f>
        <v>71.531472530610557</v>
      </c>
      <c r="J16" s="19" t="s">
        <v>116</v>
      </c>
      <c r="K16" s="20"/>
    </row>
    <row r="17" spans="1:62" x14ac:dyDescent="0.3">
      <c r="A17" s="1" t="s">
        <v>12</v>
      </c>
      <c r="B17">
        <f>'Todos los Datos (2)'!B17*Hoja1!$K$17+'Todos los Datos (2)'!G17*Hoja1!$K$18+'Todos los Datos (2)'!L17*Hoja1!$K$19+'Todos los Datos (2)'!Q17*Hoja1!$K$20+'Todos los Datos (2)'!V17*Hoja1!$K$21+'Todos los Datos (2)'!AA17*Hoja1!$K$22+'Todos los Datos (2)'!AF17*Hoja1!$K$23+'Todos los Datos (2)'!AK17*Hoja1!$K$24</f>
        <v>150.34436365175426</v>
      </c>
      <c r="C17">
        <f>'Todos los Datos (2)'!C17*Hoja1!$K$17+'Todos los Datos (2)'!H17*Hoja1!$K$18+'Todos los Datos (2)'!M17*Hoja1!$K$19+'Todos los Datos (2)'!R17*Hoja1!$K$20+'Todos los Datos (2)'!W17*Hoja1!$K$21+'Todos los Datos (2)'!AB17*Hoja1!$K$22+'Todos los Datos (2)'!AG17*Hoja1!$K$23+'Todos los Datos (2)'!AL17*Hoja1!$K$24</f>
        <v>117.02752901720447</v>
      </c>
      <c r="D17">
        <f>'Todos los Datos (2)'!D17*Hoja1!$K$17+'Todos los Datos (2)'!I17*Hoja1!$K$18+'Todos los Datos (2)'!N17*Hoja1!$K$19+'Todos los Datos (2)'!S17*Hoja1!$K$20+'Todos los Datos (2)'!X17*Hoja1!$K$21+'Todos los Datos (2)'!AC17*Hoja1!$K$22+'Todos los Datos (2)'!AH17*Hoja1!$K$23+'Todos los Datos (2)'!AM17*Hoja1!$K$24</f>
        <v>65.902728282524691</v>
      </c>
      <c r="E17">
        <f>'Todos los Datos (2)'!E17*Hoja1!$K$17+'Todos los Datos (2)'!J17*Hoja1!$K$18+'Todos los Datos (2)'!O17*Hoja1!$K$19+'Todos los Datos (2)'!T17*Hoja1!$K$20+'Todos los Datos (2)'!Y17*Hoja1!$K$21+'Todos los Datos (2)'!AD17*Hoja1!$K$22+'Todos los Datos (2)'!AI17*Hoja1!$K$23+'Todos los Datos (2)'!AN17*Hoja1!$K$24</f>
        <v>82.570410223227356</v>
      </c>
      <c r="F17">
        <f>'Todos los Datos (2)'!F17*Hoja1!$K$17+'Todos los Datos (2)'!K17*Hoja1!$K$18+'Todos los Datos (2)'!P17*Hoja1!$K$19+'Todos los Datos (2)'!U17*Hoja1!$K$20+'Todos los Datos (2)'!Z17*Hoja1!$K$21+'Todos los Datos (2)'!AE17*Hoja1!$K$22+'Todos los Datos (2)'!AJ17*Hoja1!$K$23+'Todos los Datos (2)'!AO17*Hoja1!$K$24</f>
        <v>94.940954048694636</v>
      </c>
      <c r="J17" s="15" t="s">
        <v>97</v>
      </c>
      <c r="K17" s="16">
        <v>8.8834166558848858E-4</v>
      </c>
      <c r="M17" cm="1">
        <f t="array" ref="M17:BH24">IFERROR(IF(FIND(J17:J24,'Todos los Datos'!$B$1:$AW$1)=8,1,0),0)*$K$17:$K$24</f>
        <v>0</v>
      </c>
      <c r="N17">
        <v>8.8834166558848858E-4</v>
      </c>
      <c r="O17">
        <v>8.8834166558848858E-4</v>
      </c>
      <c r="P17">
        <v>8.8834166558848858E-4</v>
      </c>
      <c r="Q17">
        <v>8.8834166558848858E-4</v>
      </c>
      <c r="R17">
        <v>8.8834166558848858E-4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2" x14ac:dyDescent="0.3">
      <c r="A18" s="1" t="s">
        <v>13</v>
      </c>
      <c r="B18">
        <f>'Todos los Datos (2)'!B18*Hoja1!$K$17+'Todos los Datos (2)'!G18*Hoja1!$K$18+'Todos los Datos (2)'!L18*Hoja1!$K$19+'Todos los Datos (2)'!Q18*Hoja1!$K$20+'Todos los Datos (2)'!V18*Hoja1!$K$21+'Todos los Datos (2)'!AA18*Hoja1!$K$22+'Todos los Datos (2)'!AF18*Hoja1!$K$23+'Todos los Datos (2)'!AK18*Hoja1!$K$24</f>
        <v>161.87453104515487</v>
      </c>
      <c r="C18">
        <f>'Todos los Datos (2)'!C18*Hoja1!$K$17+'Todos los Datos (2)'!H18*Hoja1!$K$18+'Todos los Datos (2)'!M18*Hoja1!$K$19+'Todos los Datos (2)'!R18*Hoja1!$K$20+'Todos los Datos (2)'!W18*Hoja1!$K$21+'Todos los Datos (2)'!AB18*Hoja1!$K$22+'Todos los Datos (2)'!AG18*Hoja1!$K$23+'Todos los Datos (2)'!AL18*Hoja1!$K$24</f>
        <v>267.28700779264017</v>
      </c>
      <c r="D18">
        <f>'Todos los Datos (2)'!D18*Hoja1!$K$17+'Todos los Datos (2)'!I18*Hoja1!$K$18+'Todos los Datos (2)'!N18*Hoja1!$K$19+'Todos los Datos (2)'!S18*Hoja1!$K$20+'Todos los Datos (2)'!X18*Hoja1!$K$21+'Todos los Datos (2)'!AC18*Hoja1!$K$22+'Todos los Datos (2)'!AH18*Hoja1!$K$23+'Todos los Datos (2)'!AM18*Hoja1!$K$24</f>
        <v>246.00314419005574</v>
      </c>
      <c r="E18">
        <f>'Todos los Datos (2)'!E18*Hoja1!$K$17+'Todos los Datos (2)'!J18*Hoja1!$K$18+'Todos los Datos (2)'!O18*Hoja1!$K$19+'Todos los Datos (2)'!T18*Hoja1!$K$20+'Todos los Datos (2)'!Y18*Hoja1!$K$21+'Todos los Datos (2)'!AD18*Hoja1!$K$22+'Todos los Datos (2)'!AI18*Hoja1!$K$23+'Todos los Datos (2)'!AN18*Hoja1!$K$24</f>
        <v>282.05227484512125</v>
      </c>
      <c r="F18">
        <f>'Todos los Datos (2)'!F18*Hoja1!$K$17+'Todos los Datos (2)'!K18*Hoja1!$K$18+'Todos los Datos (2)'!P18*Hoja1!$K$19+'Todos los Datos (2)'!U18*Hoja1!$K$20+'Todos los Datos (2)'!Z18*Hoja1!$K$21+'Todos los Datos (2)'!AE18*Hoja1!$K$22+'Todos los Datos (2)'!AJ18*Hoja1!$K$23+'Todos los Datos (2)'!AO18*Hoja1!$K$24</f>
        <v>305.23796885345729</v>
      </c>
      <c r="J18" s="15" t="s">
        <v>115</v>
      </c>
      <c r="K18" s="16">
        <v>1.837315589343563E-2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1.837315589343563E-2</v>
      </c>
      <c r="U18">
        <v>1.837315589343563E-2</v>
      </c>
      <c r="V18">
        <v>1.837315589343563E-2</v>
      </c>
      <c r="W18">
        <v>1.837315589343563E-2</v>
      </c>
      <c r="X18">
        <v>1.837315589343563E-2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2" x14ac:dyDescent="0.3">
      <c r="A19" s="1" t="s">
        <v>14</v>
      </c>
      <c r="B19">
        <f>'Todos los Datos (2)'!B19*Hoja1!$K$17+'Todos los Datos (2)'!G19*Hoja1!$K$18+'Todos los Datos (2)'!L19*Hoja1!$K$19+'Todos los Datos (2)'!Q19*Hoja1!$K$20+'Todos los Datos (2)'!V19*Hoja1!$K$21+'Todos los Datos (2)'!AA19*Hoja1!$K$22+'Todos los Datos (2)'!AF19*Hoja1!$K$23+'Todos los Datos (2)'!AK19*Hoja1!$K$24</f>
        <v>80.413041480567429</v>
      </c>
      <c r="C19">
        <f>'Todos los Datos (2)'!C19*Hoja1!$K$17+'Todos los Datos (2)'!H19*Hoja1!$K$18+'Todos los Datos (2)'!M19*Hoja1!$K$19+'Todos los Datos (2)'!R19*Hoja1!$K$20+'Todos los Datos (2)'!W19*Hoja1!$K$21+'Todos los Datos (2)'!AB19*Hoja1!$K$22+'Todos los Datos (2)'!AG19*Hoja1!$K$23+'Todos los Datos (2)'!AL19*Hoja1!$K$24</f>
        <v>111.52343689314559</v>
      </c>
      <c r="D19">
        <f>'Todos los Datos (2)'!D19*Hoja1!$K$17+'Todos los Datos (2)'!I19*Hoja1!$K$18+'Todos los Datos (2)'!N19*Hoja1!$K$19+'Todos los Datos (2)'!S19*Hoja1!$K$20+'Todos los Datos (2)'!X19*Hoja1!$K$21+'Todos los Datos (2)'!AC19*Hoja1!$K$22+'Todos los Datos (2)'!AH19*Hoja1!$K$23+'Todos los Datos (2)'!AM19*Hoja1!$K$24</f>
        <v>107.09400022530397</v>
      </c>
      <c r="E19">
        <f>'Todos los Datos (2)'!E19*Hoja1!$K$17+'Todos los Datos (2)'!J19*Hoja1!$K$18+'Todos los Datos (2)'!O19*Hoja1!$K$19+'Todos los Datos (2)'!T19*Hoja1!$K$20+'Todos los Datos (2)'!Y19*Hoja1!$K$21+'Todos los Datos (2)'!AD19*Hoja1!$K$22+'Todos los Datos (2)'!AI19*Hoja1!$K$23+'Todos los Datos (2)'!AN19*Hoja1!$K$24</f>
        <v>187.16049759988755</v>
      </c>
      <c r="F19">
        <f>'Todos los Datos (2)'!F19*Hoja1!$K$17+'Todos los Datos (2)'!K19*Hoja1!$K$18+'Todos los Datos (2)'!P19*Hoja1!$K$19+'Todos los Datos (2)'!U19*Hoja1!$K$20+'Todos los Datos (2)'!Z19*Hoja1!$K$21+'Todos los Datos (2)'!AE19*Hoja1!$K$22+'Todos los Datos (2)'!AJ19*Hoja1!$K$23+'Todos los Datos (2)'!AO19*Hoja1!$K$24</f>
        <v>175.79167486981308</v>
      </c>
      <c r="J19" s="15" t="s">
        <v>114</v>
      </c>
      <c r="K19" s="16">
        <v>0.42496023238732389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0.42496023238732389</v>
      </c>
      <c r="AA19">
        <v>0.42496023238732389</v>
      </c>
      <c r="AB19">
        <v>0.42496023238732389</v>
      </c>
      <c r="AC19">
        <v>0.42496023238732389</v>
      </c>
      <c r="AD19">
        <v>0.42496023238732389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2" x14ac:dyDescent="0.3">
      <c r="A20" s="1" t="s">
        <v>15</v>
      </c>
      <c r="B20">
        <f>'Todos los Datos (2)'!B20*Hoja1!$K$17+'Todos los Datos (2)'!G20*Hoja1!$K$18+'Todos los Datos (2)'!L20*Hoja1!$K$19+'Todos los Datos (2)'!Q20*Hoja1!$K$20+'Todos los Datos (2)'!V20*Hoja1!$K$21+'Todos los Datos (2)'!AA20*Hoja1!$K$22+'Todos los Datos (2)'!AF20*Hoja1!$K$23+'Todos los Datos (2)'!AK20*Hoja1!$K$24</f>
        <v>156.33078517111227</v>
      </c>
      <c r="C20">
        <f>'Todos los Datos (2)'!C20*Hoja1!$K$17+'Todos los Datos (2)'!H20*Hoja1!$K$18+'Todos los Datos (2)'!M20*Hoja1!$K$19+'Todos los Datos (2)'!R20*Hoja1!$K$20+'Todos los Datos (2)'!W20*Hoja1!$K$21+'Todos los Datos (2)'!AB20*Hoja1!$K$22+'Todos los Datos (2)'!AG20*Hoja1!$K$23+'Todos los Datos (2)'!AL20*Hoja1!$K$24</f>
        <v>215.20136463209923</v>
      </c>
      <c r="D20">
        <f>'Todos los Datos (2)'!D20*Hoja1!$K$17+'Todos los Datos (2)'!I20*Hoja1!$K$18+'Todos los Datos (2)'!N20*Hoja1!$K$19+'Todos los Datos (2)'!S20*Hoja1!$K$20+'Todos los Datos (2)'!X20*Hoja1!$K$21+'Todos los Datos (2)'!AC20*Hoja1!$K$22+'Todos los Datos (2)'!AH20*Hoja1!$K$23+'Todos los Datos (2)'!AM20*Hoja1!$K$24</f>
        <v>242.68929036732672</v>
      </c>
      <c r="E20">
        <f>'Todos los Datos (2)'!E20*Hoja1!$K$17+'Todos los Datos (2)'!J20*Hoja1!$K$18+'Todos los Datos (2)'!O20*Hoja1!$K$19+'Todos los Datos (2)'!T20*Hoja1!$K$20+'Todos los Datos (2)'!Y20*Hoja1!$K$21+'Todos los Datos (2)'!AD20*Hoja1!$K$22+'Todos los Datos (2)'!AI20*Hoja1!$K$23+'Todos los Datos (2)'!AN20*Hoja1!$K$24</f>
        <v>250.75504752289376</v>
      </c>
      <c r="F20">
        <f>'Todos los Datos (2)'!F20*Hoja1!$K$17+'Todos los Datos (2)'!K20*Hoja1!$K$18+'Todos los Datos (2)'!P20*Hoja1!$K$19+'Todos los Datos (2)'!U20*Hoja1!$K$20+'Todos los Datos (2)'!Z20*Hoja1!$K$21+'Todos los Datos (2)'!AE20*Hoja1!$K$22+'Todos los Datos (2)'!AJ20*Hoja1!$K$23+'Todos los Datos (2)'!AO20*Hoja1!$K$24</f>
        <v>275.52224902924581</v>
      </c>
      <c r="J20" s="15" t="s">
        <v>113</v>
      </c>
      <c r="K20" s="16">
        <v>0.11221089961793768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0.11221089961793768</v>
      </c>
      <c r="AG20">
        <v>0.11221089961793768</v>
      </c>
      <c r="AH20">
        <v>0.11221089961793768</v>
      </c>
      <c r="AI20">
        <v>0.11221089961793768</v>
      </c>
      <c r="AJ20">
        <v>0.11221089961793768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2" x14ac:dyDescent="0.3">
      <c r="A21" s="1" t="s">
        <v>16</v>
      </c>
      <c r="B21">
        <f>'Todos los Datos (2)'!B21*Hoja1!$K$17+'Todos los Datos (2)'!G21*Hoja1!$K$18+'Todos los Datos (2)'!L21*Hoja1!$K$19+'Todos los Datos (2)'!Q21*Hoja1!$K$20+'Todos los Datos (2)'!V21*Hoja1!$K$21+'Todos los Datos (2)'!AA21*Hoja1!$K$22+'Todos los Datos (2)'!AF21*Hoja1!$K$23+'Todos los Datos (2)'!AK21*Hoja1!$K$24</f>
        <v>141.60919187892932</v>
      </c>
      <c r="C21">
        <f>'Todos los Datos (2)'!C21*Hoja1!$K$17+'Todos los Datos (2)'!H21*Hoja1!$K$18+'Todos los Datos (2)'!M21*Hoja1!$K$19+'Todos los Datos (2)'!R21*Hoja1!$K$20+'Todos los Datos (2)'!W21*Hoja1!$K$21+'Todos los Datos (2)'!AB21*Hoja1!$K$22+'Todos los Datos (2)'!AG21*Hoja1!$K$23+'Todos los Datos (2)'!AL21*Hoja1!$K$24</f>
        <v>225.5777373946928</v>
      </c>
      <c r="D21">
        <f>'Todos los Datos (2)'!D21*Hoja1!$K$17+'Todos los Datos (2)'!I21*Hoja1!$K$18+'Todos los Datos (2)'!N21*Hoja1!$K$19+'Todos los Datos (2)'!S21*Hoja1!$K$20+'Todos los Datos (2)'!X21*Hoja1!$K$21+'Todos los Datos (2)'!AC21*Hoja1!$K$22+'Todos los Datos (2)'!AH21*Hoja1!$K$23+'Todos los Datos (2)'!AM21*Hoja1!$K$24</f>
        <v>254.52021096511967</v>
      </c>
      <c r="E21">
        <f>'Todos los Datos (2)'!E21*Hoja1!$K$17+'Todos los Datos (2)'!J21*Hoja1!$K$18+'Todos los Datos (2)'!O21*Hoja1!$K$19+'Todos los Datos (2)'!T21*Hoja1!$K$20+'Todos los Datos (2)'!Y21*Hoja1!$K$21+'Todos los Datos (2)'!AD21*Hoja1!$K$22+'Todos los Datos (2)'!AI21*Hoja1!$K$23+'Todos los Datos (2)'!AN21*Hoja1!$K$24</f>
        <v>219.81964212534015</v>
      </c>
      <c r="F21">
        <f>'Todos los Datos (2)'!F21*Hoja1!$K$17+'Todos los Datos (2)'!K21*Hoja1!$K$18+'Todos los Datos (2)'!P21*Hoja1!$K$19+'Todos los Datos (2)'!U21*Hoja1!$K$20+'Todos los Datos (2)'!Z21*Hoja1!$K$21+'Todos los Datos (2)'!AE21*Hoja1!$K$22+'Todos los Datos (2)'!AJ21*Hoja1!$K$23+'Todos los Datos (2)'!AO21*Hoja1!$K$24</f>
        <v>182.03852507222371</v>
      </c>
      <c r="J21" s="15" t="s">
        <v>98</v>
      </c>
      <c r="K21" s="16">
        <v>5.6231867720128684E-2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5.6231867720128684E-2</v>
      </c>
      <c r="AM21">
        <v>5.6231867720128684E-2</v>
      </c>
      <c r="AN21">
        <v>5.6231867720128684E-2</v>
      </c>
      <c r="AO21">
        <v>5.6231867720128684E-2</v>
      </c>
      <c r="AP21">
        <v>5.6231867720128684E-2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2" x14ac:dyDescent="0.3">
      <c r="A22" s="1" t="s">
        <v>43</v>
      </c>
      <c r="B22">
        <f>'Todos los Datos (2)'!B22*Hoja1!$K$17+'Todos los Datos (2)'!G22*Hoja1!$K$18+'Todos los Datos (2)'!L22*Hoja1!$K$19+'Todos los Datos (2)'!Q22*Hoja1!$K$20+'Todos los Datos (2)'!V22*Hoja1!$K$21+'Todos los Datos (2)'!AA22*Hoja1!$K$22+'Todos los Datos (2)'!AF22*Hoja1!$K$23+'Todos los Datos (2)'!AK22*Hoja1!$K$24</f>
        <v>143.61970079806289</v>
      </c>
      <c r="C22">
        <f>'Todos los Datos (2)'!C22*Hoja1!$K$17+'Todos los Datos (2)'!H22*Hoja1!$K$18+'Todos los Datos (2)'!M22*Hoja1!$K$19+'Todos los Datos (2)'!R22*Hoja1!$K$20+'Todos los Datos (2)'!W22*Hoja1!$K$21+'Todos los Datos (2)'!AB22*Hoja1!$K$22+'Todos los Datos (2)'!AG22*Hoja1!$K$23+'Todos los Datos (2)'!AL22*Hoja1!$K$24</f>
        <v>211.20019270710537</v>
      </c>
      <c r="D22">
        <f>'Todos los Datos (2)'!D22*Hoja1!$K$17+'Todos los Datos (2)'!I22*Hoja1!$K$18+'Todos los Datos (2)'!N22*Hoja1!$K$19+'Todos los Datos (2)'!S22*Hoja1!$K$20+'Todos los Datos (2)'!X22*Hoja1!$K$21+'Todos los Datos (2)'!AC22*Hoja1!$K$22+'Todos los Datos (2)'!AH22*Hoja1!$K$23+'Todos los Datos (2)'!AM22*Hoja1!$K$24</f>
        <v>301.75077471745101</v>
      </c>
      <c r="E22">
        <f>'Todos los Datos (2)'!E22*Hoja1!$K$17+'Todos los Datos (2)'!J22*Hoja1!$K$18+'Todos los Datos (2)'!O22*Hoja1!$K$19+'Todos los Datos (2)'!T22*Hoja1!$K$20+'Todos los Datos (2)'!Y22*Hoja1!$K$21+'Todos los Datos (2)'!AD22*Hoja1!$K$22+'Todos los Datos (2)'!AI22*Hoja1!$K$23+'Todos los Datos (2)'!AN22*Hoja1!$K$24</f>
        <v>291.17355452912449</v>
      </c>
      <c r="F22">
        <f>'Todos los Datos (2)'!F22*Hoja1!$K$17+'Todos los Datos (2)'!K22*Hoja1!$K$18+'Todos los Datos (2)'!P22*Hoja1!$K$19+'Todos los Datos (2)'!U22*Hoja1!$K$20+'Todos los Datos (2)'!Z22*Hoja1!$K$21+'Todos los Datos (2)'!AE22*Hoja1!$K$22+'Todos los Datos (2)'!AJ22*Hoja1!$K$23+'Todos los Datos (2)'!AO22*Hoja1!$K$24</f>
        <v>271.36796646054177</v>
      </c>
      <c r="J22" s="15" t="s">
        <v>99</v>
      </c>
      <c r="K22" s="16">
        <v>1.110458858212284E-2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1.110458858212284E-2</v>
      </c>
      <c r="AS22">
        <v>1.110458858212284E-2</v>
      </c>
      <c r="AT22">
        <v>1.110458858212284E-2</v>
      </c>
      <c r="AU22">
        <v>1.110458858212284E-2</v>
      </c>
      <c r="AV22">
        <v>1.110458858212284E-2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2" ht="15" thickBot="1" x14ac:dyDescent="0.35">
      <c r="A23" s="1" t="s">
        <v>44</v>
      </c>
      <c r="B23">
        <f>'Todos los Datos (2)'!B23*Hoja1!$K$17+'Todos los Datos (2)'!G23*Hoja1!$K$18+'Todos los Datos (2)'!L23*Hoja1!$K$19+'Todos los Datos (2)'!Q23*Hoja1!$K$20+'Todos los Datos (2)'!V23*Hoja1!$K$21+'Todos los Datos (2)'!AA23*Hoja1!$K$22+'Todos los Datos (2)'!AF23*Hoja1!$K$23+'Todos los Datos (2)'!AK23*Hoja1!$K$24</f>
        <v>261.96568538589872</v>
      </c>
      <c r="C23">
        <f>'Todos los Datos (2)'!C23*Hoja1!$K$17+'Todos los Datos (2)'!H23*Hoja1!$K$18+'Todos los Datos (2)'!M23*Hoja1!$K$19+'Todos los Datos (2)'!R23*Hoja1!$K$20+'Todos los Datos (2)'!W23*Hoja1!$K$21+'Todos los Datos (2)'!AB23*Hoja1!$K$22+'Todos los Datos (2)'!AG23*Hoja1!$K$23+'Todos los Datos (2)'!AL23*Hoja1!$K$24</f>
        <v>322.2228289004737</v>
      </c>
      <c r="D23">
        <f>'Todos los Datos (2)'!D23*Hoja1!$K$17+'Todos los Datos (2)'!I23*Hoja1!$K$18+'Todos los Datos (2)'!N23*Hoja1!$K$19+'Todos los Datos (2)'!S23*Hoja1!$K$20+'Todos los Datos (2)'!X23*Hoja1!$K$21+'Todos los Datos (2)'!AC23*Hoja1!$K$22+'Todos los Datos (2)'!AH23*Hoja1!$K$23+'Todos los Datos (2)'!AM23*Hoja1!$K$24</f>
        <v>363.90708262681915</v>
      </c>
      <c r="E23">
        <f>'Todos los Datos (2)'!E23*Hoja1!$K$17+'Todos los Datos (2)'!J23*Hoja1!$K$18+'Todos los Datos (2)'!O23*Hoja1!$K$19+'Todos los Datos (2)'!T23*Hoja1!$K$20+'Todos los Datos (2)'!Y23*Hoja1!$K$21+'Todos los Datos (2)'!AD23*Hoja1!$K$22+'Todos los Datos (2)'!AI23*Hoja1!$K$23+'Todos los Datos (2)'!AN23*Hoja1!$K$24</f>
        <v>324.92003853055422</v>
      </c>
      <c r="F23">
        <f>'Todos los Datos (2)'!F23*Hoja1!$K$17+'Todos los Datos (2)'!K23*Hoja1!$K$18+'Todos los Datos (2)'!P23*Hoja1!$K$19+'Todos los Datos (2)'!U23*Hoja1!$K$20+'Todos los Datos (2)'!Z23*Hoja1!$K$21+'Todos los Datos (2)'!AE23*Hoja1!$K$22+'Todos los Datos (2)'!AJ23*Hoja1!$K$23+'Todos los Datos (2)'!AO23*Hoja1!$K$24</f>
        <v>333.81401230519839</v>
      </c>
      <c r="J23" s="17" t="s">
        <v>100</v>
      </c>
      <c r="K23" s="18">
        <v>0.37623091413346282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0.37623091413346282</v>
      </c>
      <c r="AY23">
        <v>0.37623091413346282</v>
      </c>
      <c r="AZ23">
        <v>0.37623091413346282</v>
      </c>
      <c r="BA23">
        <v>0.37623091413346282</v>
      </c>
      <c r="BB23">
        <v>0.37623091413346282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2" x14ac:dyDescent="0.3">
      <c r="A24" s="1" t="s">
        <v>17</v>
      </c>
      <c r="B24">
        <f>'Todos los Datos (2)'!B24*Hoja1!$K$17+'Todos los Datos (2)'!G24*Hoja1!$K$18+'Todos los Datos (2)'!L24*Hoja1!$K$19+'Todos los Datos (2)'!Q24*Hoja1!$K$20+'Todos los Datos (2)'!V24*Hoja1!$K$21+'Todos los Datos (2)'!AA24*Hoja1!$K$22+'Todos los Datos (2)'!AF24*Hoja1!$K$23+'Todos los Datos (2)'!AK24*Hoja1!$K$24</f>
        <v>152.04424290176726</v>
      </c>
      <c r="C24">
        <f>'Todos los Datos (2)'!C24*Hoja1!$K$17+'Todos los Datos (2)'!H24*Hoja1!$K$18+'Todos los Datos (2)'!M24*Hoja1!$K$19+'Todos los Datos (2)'!R24*Hoja1!$K$20+'Todos los Datos (2)'!W24*Hoja1!$K$21+'Todos los Datos (2)'!AB24*Hoja1!$K$22+'Todos los Datos (2)'!AG24*Hoja1!$K$23+'Todos los Datos (2)'!AL24*Hoja1!$K$24</f>
        <v>236.57624495392758</v>
      </c>
      <c r="D24">
        <f>'Todos los Datos (2)'!D24*Hoja1!$K$17+'Todos los Datos (2)'!I24*Hoja1!$K$18+'Todos los Datos (2)'!N24*Hoja1!$K$19+'Todos los Datos (2)'!S24*Hoja1!$K$20+'Todos los Datos (2)'!X24*Hoja1!$K$21+'Todos los Datos (2)'!AC24*Hoja1!$K$22+'Todos los Datos (2)'!AH24*Hoja1!$K$23+'Todos los Datos (2)'!AM24*Hoja1!$K$24</f>
        <v>217.64119464355474</v>
      </c>
      <c r="E24">
        <f>'Todos los Datos (2)'!E24*Hoja1!$K$17+'Todos los Datos (2)'!J24*Hoja1!$K$18+'Todos los Datos (2)'!O24*Hoja1!$K$19+'Todos los Datos (2)'!T24*Hoja1!$K$20+'Todos los Datos (2)'!Y24*Hoja1!$K$21+'Todos los Datos (2)'!AD24*Hoja1!$K$22+'Todos los Datos (2)'!AI24*Hoja1!$K$23+'Todos los Datos (2)'!AN24*Hoja1!$K$24</f>
        <v>186.94631657001187</v>
      </c>
      <c r="F24">
        <f>'Todos los Datos (2)'!F24*Hoja1!$K$17+'Todos los Datos (2)'!K24*Hoja1!$K$18+'Todos los Datos (2)'!P24*Hoja1!$K$19+'Todos los Datos (2)'!U24*Hoja1!$K$20+'Todos los Datos (2)'!Z24*Hoja1!$K$21+'Todos los Datos (2)'!AE24*Hoja1!$K$22+'Todos los Datos (2)'!AJ24*Hoja1!$K$23+'Todos los Datos (2)'!AO24*Hoja1!$K$24</f>
        <v>216.15768581889324</v>
      </c>
      <c r="K24" s="9"/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2" x14ac:dyDescent="0.3">
      <c r="A25" s="1" t="s">
        <v>45</v>
      </c>
      <c r="B25">
        <f>'Todos los Datos (2)'!B25*Hoja1!$K$17+'Todos los Datos (2)'!G25*Hoja1!$K$18+'Todos los Datos (2)'!L25*Hoja1!$K$19+'Todos los Datos (2)'!Q25*Hoja1!$K$20+'Todos los Datos (2)'!V25*Hoja1!$K$21+'Todos los Datos (2)'!AA25*Hoja1!$K$22+'Todos los Datos (2)'!AF25*Hoja1!$K$23+'Todos los Datos (2)'!AK25*Hoja1!$K$24</f>
        <v>93.56356818620506</v>
      </c>
      <c r="C25">
        <f>'Todos los Datos (2)'!C25*Hoja1!$K$17+'Todos los Datos (2)'!H25*Hoja1!$K$18+'Todos los Datos (2)'!M25*Hoja1!$K$19+'Todos los Datos (2)'!R25*Hoja1!$K$20+'Todos los Datos (2)'!W25*Hoja1!$K$21+'Todos los Datos (2)'!AB25*Hoja1!$K$22+'Todos los Datos (2)'!AG25*Hoja1!$K$23+'Todos los Datos (2)'!AL25*Hoja1!$K$24</f>
        <v>120.64307002864987</v>
      </c>
      <c r="D25">
        <f>'Todos los Datos (2)'!D25*Hoja1!$K$17+'Todos los Datos (2)'!I25*Hoja1!$K$18+'Todos los Datos (2)'!N25*Hoja1!$K$19+'Todos los Datos (2)'!S25*Hoja1!$K$20+'Todos los Datos (2)'!X25*Hoja1!$K$21+'Todos los Datos (2)'!AC25*Hoja1!$K$22+'Todos los Datos (2)'!AH25*Hoja1!$K$23+'Todos los Datos (2)'!AM25*Hoja1!$K$24</f>
        <v>137.31514771876812</v>
      </c>
      <c r="E25">
        <f>'Todos los Datos (2)'!E25*Hoja1!$K$17+'Todos los Datos (2)'!J25*Hoja1!$K$18+'Todos los Datos (2)'!O25*Hoja1!$K$19+'Todos los Datos (2)'!T25*Hoja1!$K$20+'Todos los Datos (2)'!Y25*Hoja1!$K$21+'Todos los Datos (2)'!AD25*Hoja1!$K$22+'Todos los Datos (2)'!AI25*Hoja1!$K$23+'Todos los Datos (2)'!AN25*Hoja1!$K$24</f>
        <v>150.57445726089801</v>
      </c>
      <c r="F25">
        <f>'Todos los Datos (2)'!F25*Hoja1!$K$17+'Todos los Datos (2)'!K25*Hoja1!$K$18+'Todos los Datos (2)'!P25*Hoja1!$K$19+'Todos los Datos (2)'!U25*Hoja1!$K$20+'Todos los Datos (2)'!Z25*Hoja1!$K$21+'Todos los Datos (2)'!AE25*Hoja1!$K$22+'Todos los Datos (2)'!AJ25*Hoja1!$K$23+'Todos los Datos (2)'!AO25*Hoja1!$K$24</f>
        <v>179.1453659726688</v>
      </c>
    </row>
    <row r="26" spans="1:62" x14ac:dyDescent="0.3">
      <c r="A26" s="1" t="s">
        <v>37</v>
      </c>
      <c r="B26">
        <f>'Todos los Datos (2)'!B26*Hoja1!$K$17+'Todos los Datos (2)'!G26*Hoja1!$K$18+'Todos los Datos (2)'!L26*Hoja1!$K$19+'Todos los Datos (2)'!Q26*Hoja1!$K$20+'Todos los Datos (2)'!V26*Hoja1!$K$21+'Todos los Datos (2)'!AA26*Hoja1!$K$22+'Todos los Datos (2)'!AF26*Hoja1!$K$23+'Todos los Datos (2)'!AK26*Hoja1!$K$24</f>
        <v>172.43756951754841</v>
      </c>
      <c r="C26">
        <f>'Todos los Datos (2)'!C26*Hoja1!$K$17+'Todos los Datos (2)'!H26*Hoja1!$K$18+'Todos los Datos (2)'!M26*Hoja1!$K$19+'Todos los Datos (2)'!R26*Hoja1!$K$20+'Todos los Datos (2)'!W26*Hoja1!$K$21+'Todos los Datos (2)'!AB26*Hoja1!$K$22+'Todos los Datos (2)'!AG26*Hoja1!$K$23+'Todos los Datos (2)'!AL26*Hoja1!$K$24</f>
        <v>125.42859943791828</v>
      </c>
      <c r="D26">
        <f>'Todos los Datos (2)'!D26*Hoja1!$K$17+'Todos los Datos (2)'!I26*Hoja1!$K$18+'Todos los Datos (2)'!N26*Hoja1!$K$19+'Todos los Datos (2)'!S26*Hoja1!$K$20+'Todos los Datos (2)'!X26*Hoja1!$K$21+'Todos los Datos (2)'!AC26*Hoja1!$K$22+'Todos los Datos (2)'!AH26*Hoja1!$K$23+'Todos los Datos (2)'!AM26*Hoja1!$K$24</f>
        <v>116.03234880106839</v>
      </c>
      <c r="E26">
        <f>'Todos los Datos (2)'!E26*Hoja1!$K$17+'Todos los Datos (2)'!J26*Hoja1!$K$18+'Todos los Datos (2)'!O26*Hoja1!$K$19+'Todos los Datos (2)'!T26*Hoja1!$K$20+'Todos los Datos (2)'!Y26*Hoja1!$K$21+'Todos los Datos (2)'!AD26*Hoja1!$K$22+'Todos los Datos (2)'!AI26*Hoja1!$K$23+'Todos los Datos (2)'!AN26*Hoja1!$K$24</f>
        <v>125.06743357138109</v>
      </c>
      <c r="F26">
        <f>'Todos los Datos (2)'!F26*Hoja1!$K$17+'Todos los Datos (2)'!K26*Hoja1!$K$18+'Todos los Datos (2)'!P26*Hoja1!$K$19+'Todos los Datos (2)'!U26*Hoja1!$K$20+'Todos los Datos (2)'!Z26*Hoja1!$K$21+'Todos los Datos (2)'!AE26*Hoja1!$K$22+'Todos los Datos (2)'!AJ26*Hoja1!$K$23+'Todos los Datos (2)'!AO26*Hoja1!$K$24</f>
        <v>144.30767270348812</v>
      </c>
    </row>
    <row r="27" spans="1:62" x14ac:dyDescent="0.3">
      <c r="A27" s="1" t="s">
        <v>18</v>
      </c>
      <c r="B27">
        <f>'Todos los Datos (2)'!B27*Hoja1!$K$17+'Todos los Datos (2)'!G27*Hoja1!$K$18+'Todos los Datos (2)'!L27*Hoja1!$K$19+'Todos los Datos (2)'!Q27*Hoja1!$K$20+'Todos los Datos (2)'!V27*Hoja1!$K$21+'Todos los Datos (2)'!AA27*Hoja1!$K$22+'Todos los Datos (2)'!AF27*Hoja1!$K$23+'Todos los Datos (2)'!AK27*Hoja1!$K$24</f>
        <v>111.17778687003972</v>
      </c>
      <c r="C27">
        <f>'Todos los Datos (2)'!C27*Hoja1!$K$17+'Todos los Datos (2)'!H27*Hoja1!$K$18+'Todos los Datos (2)'!M27*Hoja1!$K$19+'Todos los Datos (2)'!R27*Hoja1!$K$20+'Todos los Datos (2)'!W27*Hoja1!$K$21+'Todos los Datos (2)'!AB27*Hoja1!$K$22+'Todos los Datos (2)'!AG27*Hoja1!$K$23+'Todos los Datos (2)'!AL27*Hoja1!$K$24</f>
        <v>102.77629756912111</v>
      </c>
      <c r="D27">
        <f>'Todos los Datos (2)'!D27*Hoja1!$K$17+'Todos los Datos (2)'!I27*Hoja1!$K$18+'Todos los Datos (2)'!N27*Hoja1!$K$19+'Todos los Datos (2)'!S27*Hoja1!$K$20+'Todos los Datos (2)'!X27*Hoja1!$K$21+'Todos los Datos (2)'!AC27*Hoja1!$K$22+'Todos los Datos (2)'!AH27*Hoja1!$K$23+'Todos los Datos (2)'!AM27*Hoja1!$K$24</f>
        <v>97.524159333706933</v>
      </c>
      <c r="E27">
        <f>'Todos los Datos (2)'!E27*Hoja1!$K$17+'Todos los Datos (2)'!J27*Hoja1!$K$18+'Todos los Datos (2)'!O27*Hoja1!$K$19+'Todos los Datos (2)'!T27*Hoja1!$K$20+'Todos los Datos (2)'!Y27*Hoja1!$K$21+'Todos los Datos (2)'!AD27*Hoja1!$K$22+'Todos los Datos (2)'!AI27*Hoja1!$K$23+'Todos los Datos (2)'!AN27*Hoja1!$K$24</f>
        <v>152.33491006751265</v>
      </c>
      <c r="F27">
        <f>'Todos los Datos (2)'!F27*Hoja1!$K$17+'Todos los Datos (2)'!K27*Hoja1!$K$18+'Todos los Datos (2)'!P27*Hoja1!$K$19+'Todos los Datos (2)'!U27*Hoja1!$K$20+'Todos los Datos (2)'!Z27*Hoja1!$K$21+'Todos los Datos (2)'!AE27*Hoja1!$K$22+'Todos los Datos (2)'!AJ27*Hoja1!$K$23+'Todos los Datos (2)'!AO27*Hoja1!$K$24</f>
        <v>199.26009024175696</v>
      </c>
    </row>
    <row r="28" spans="1:62" x14ac:dyDescent="0.3">
      <c r="A28" s="1" t="s">
        <v>19</v>
      </c>
      <c r="B28">
        <f>'Todos los Datos (2)'!B28*Hoja1!$K$17+'Todos los Datos (2)'!G28*Hoja1!$K$18+'Todos los Datos (2)'!L28*Hoja1!$K$19+'Todos los Datos (2)'!Q28*Hoja1!$K$20+'Todos los Datos (2)'!V28*Hoja1!$K$21+'Todos los Datos (2)'!AA28*Hoja1!$K$22+'Todos los Datos (2)'!AF28*Hoja1!$K$23+'Todos los Datos (2)'!AK28*Hoja1!$K$24</f>
        <v>263.49087003520219</v>
      </c>
      <c r="C28">
        <f>'Todos los Datos (2)'!C28*Hoja1!$K$17+'Todos los Datos (2)'!H28*Hoja1!$K$18+'Todos los Datos (2)'!M28*Hoja1!$K$19+'Todos los Datos (2)'!R28*Hoja1!$K$20+'Todos los Datos (2)'!W28*Hoja1!$K$21+'Todos los Datos (2)'!AB28*Hoja1!$K$22+'Todos los Datos (2)'!AG28*Hoja1!$K$23+'Todos los Datos (2)'!AL28*Hoja1!$K$24</f>
        <v>336.31230503252112</v>
      </c>
      <c r="D28">
        <f>'Todos los Datos (2)'!D28*Hoja1!$K$17+'Todos los Datos (2)'!I28*Hoja1!$K$18+'Todos los Datos (2)'!N28*Hoja1!$K$19+'Todos los Datos (2)'!S28*Hoja1!$K$20+'Todos los Datos (2)'!X28*Hoja1!$K$21+'Todos los Datos (2)'!AC28*Hoja1!$K$22+'Todos los Datos (2)'!AH28*Hoja1!$K$23+'Todos los Datos (2)'!AM28*Hoja1!$K$24</f>
        <v>425.97890035843784</v>
      </c>
      <c r="E28">
        <f>'Todos los Datos (2)'!E28*Hoja1!$K$17+'Todos los Datos (2)'!J28*Hoja1!$K$18+'Todos los Datos (2)'!O28*Hoja1!$K$19+'Todos los Datos (2)'!T28*Hoja1!$K$20+'Todos los Datos (2)'!Y28*Hoja1!$K$21+'Todos los Datos (2)'!AD28*Hoja1!$K$22+'Todos los Datos (2)'!AI28*Hoja1!$K$23+'Todos los Datos (2)'!AN28*Hoja1!$K$24</f>
        <v>457.16003817331864</v>
      </c>
      <c r="F28">
        <f>'Todos los Datos (2)'!F28*Hoja1!$K$17+'Todos los Datos (2)'!K28*Hoja1!$K$18+'Todos los Datos (2)'!P28*Hoja1!$K$19+'Todos los Datos (2)'!U28*Hoja1!$K$20+'Todos los Datos (2)'!Z28*Hoja1!$K$21+'Todos los Datos (2)'!AE28*Hoja1!$K$22+'Todos los Datos (2)'!AJ28*Hoja1!$K$23+'Todos los Datos (2)'!AO28*Hoja1!$K$24</f>
        <v>492.43855722328988</v>
      </c>
    </row>
    <row r="29" spans="1:62" x14ac:dyDescent="0.3">
      <c r="A29" s="1" t="s">
        <v>20</v>
      </c>
      <c r="B29">
        <f>'Todos los Datos (2)'!B29*Hoja1!$K$17+'Todos los Datos (2)'!G29*Hoja1!$K$18+'Todos los Datos (2)'!L29*Hoja1!$K$19+'Todos los Datos (2)'!Q29*Hoja1!$K$20+'Todos los Datos (2)'!V29*Hoja1!$K$21+'Todos los Datos (2)'!AA29*Hoja1!$K$22+'Todos los Datos (2)'!AF29*Hoja1!$K$23+'Todos los Datos (2)'!AK29*Hoja1!$K$24</f>
        <v>161.10124692374274</v>
      </c>
      <c r="C29">
        <f>'Todos los Datos (2)'!C29*Hoja1!$K$17+'Todos los Datos (2)'!H29*Hoja1!$K$18+'Todos los Datos (2)'!M29*Hoja1!$K$19+'Todos los Datos (2)'!R29*Hoja1!$K$20+'Todos los Datos (2)'!W29*Hoja1!$K$21+'Todos los Datos (2)'!AB29*Hoja1!$K$22+'Todos los Datos (2)'!AG29*Hoja1!$K$23+'Todos los Datos (2)'!AL29*Hoja1!$K$24</f>
        <v>222.29740098497859</v>
      </c>
      <c r="D29">
        <f>'Todos los Datos (2)'!D29*Hoja1!$K$17+'Todos los Datos (2)'!I29*Hoja1!$K$18+'Todos los Datos (2)'!N29*Hoja1!$K$19+'Todos los Datos (2)'!S29*Hoja1!$K$20+'Todos los Datos (2)'!X29*Hoja1!$K$21+'Todos los Datos (2)'!AC29*Hoja1!$K$22+'Todos los Datos (2)'!AH29*Hoja1!$K$23+'Todos los Datos (2)'!AM29*Hoja1!$K$24</f>
        <v>235.42017621478388</v>
      </c>
      <c r="E29">
        <f>'Todos los Datos (2)'!E29*Hoja1!$K$17+'Todos los Datos (2)'!J29*Hoja1!$K$18+'Todos los Datos (2)'!O29*Hoja1!$K$19+'Todos los Datos (2)'!T29*Hoja1!$K$20+'Todos los Datos (2)'!Y29*Hoja1!$K$21+'Todos los Datos (2)'!AD29*Hoja1!$K$22+'Todos los Datos (2)'!AI29*Hoja1!$K$23+'Todos los Datos (2)'!AN29*Hoja1!$K$24</f>
        <v>240.37863027513251</v>
      </c>
      <c r="F29">
        <f>'Todos los Datos (2)'!F29*Hoja1!$K$17+'Todos los Datos (2)'!K29*Hoja1!$K$18+'Todos los Datos (2)'!P29*Hoja1!$K$19+'Todos los Datos (2)'!U29*Hoja1!$K$20+'Todos los Datos (2)'!Z29*Hoja1!$K$21+'Todos los Datos (2)'!AE29*Hoja1!$K$22+'Todos los Datos (2)'!AJ29*Hoja1!$K$23+'Todos los Datos (2)'!AO29*Hoja1!$K$24</f>
        <v>306.46178541835059</v>
      </c>
    </row>
    <row r="30" spans="1:62" x14ac:dyDescent="0.3">
      <c r="A30" s="1" t="s">
        <v>21</v>
      </c>
      <c r="B30">
        <f>'Todos los Datos (2)'!B30*Hoja1!$K$17+'Todos los Datos (2)'!G30*Hoja1!$K$18+'Todos los Datos (2)'!L30*Hoja1!$K$19+'Todos los Datos (2)'!Q30*Hoja1!$K$20+'Todos los Datos (2)'!V30*Hoja1!$K$21+'Todos los Datos (2)'!AA30*Hoja1!$K$22+'Todos los Datos (2)'!AF30*Hoja1!$K$23+'Todos los Datos (2)'!AK30*Hoja1!$K$24</f>
        <v>160.91710234394446</v>
      </c>
      <c r="C30">
        <f>'Todos los Datos (2)'!C30*Hoja1!$K$17+'Todos los Datos (2)'!H30*Hoja1!$K$18+'Todos los Datos (2)'!M30*Hoja1!$K$19+'Todos los Datos (2)'!R30*Hoja1!$K$20+'Todos los Datos (2)'!W30*Hoja1!$K$21+'Todos los Datos (2)'!AB30*Hoja1!$K$22+'Todos los Datos (2)'!AG30*Hoja1!$K$23+'Todos los Datos (2)'!AL30*Hoja1!$K$24</f>
        <v>238.00770069904462</v>
      </c>
      <c r="D30">
        <f>'Todos los Datos (2)'!D30*Hoja1!$K$17+'Todos los Datos (2)'!I30*Hoja1!$K$18+'Todos los Datos (2)'!N30*Hoja1!$K$19+'Todos los Datos (2)'!S30*Hoja1!$K$20+'Todos los Datos (2)'!X30*Hoja1!$K$21+'Todos los Datos (2)'!AC30*Hoja1!$K$22+'Todos los Datos (2)'!AH30*Hoja1!$K$23+'Todos los Datos (2)'!AM30*Hoja1!$K$24</f>
        <v>237.22299105368683</v>
      </c>
      <c r="E30">
        <f>'Todos los Datos (2)'!E30*Hoja1!$K$17+'Todos los Datos (2)'!J30*Hoja1!$K$18+'Todos los Datos (2)'!O30*Hoja1!$K$19+'Todos los Datos (2)'!T30*Hoja1!$K$20+'Todos los Datos (2)'!Y30*Hoja1!$K$21+'Todos los Datos (2)'!AD30*Hoja1!$K$22+'Todos los Datos (2)'!AI30*Hoja1!$K$23+'Todos los Datos (2)'!AN30*Hoja1!$K$24</f>
        <v>248.25861080600322</v>
      </c>
      <c r="F30">
        <f>'Todos los Datos (2)'!F30*Hoja1!$K$17+'Todos los Datos (2)'!K30*Hoja1!$K$18+'Todos los Datos (2)'!P30*Hoja1!$K$19+'Todos los Datos (2)'!U30*Hoja1!$K$20+'Todos los Datos (2)'!Z30*Hoja1!$K$21+'Todos los Datos (2)'!AE30*Hoja1!$K$22+'Todos los Datos (2)'!AJ30*Hoja1!$K$23+'Todos los Datos (2)'!AO30*Hoja1!$K$24</f>
        <v>296.47277741444009</v>
      </c>
      <c r="P30" cm="1">
        <f t="array" ref="P30:BJ30">IF(IFERROR(VALUE(RIGHT(TRIM('Todos los Datos'!C1:AW1),4)),"")=B$1,1,0)*'Todos los Datos'!C2:AW2</f>
        <v>46.73579413803369</v>
      </c>
      <c r="Q30">
        <v>0</v>
      </c>
      <c r="R30">
        <v>0</v>
      </c>
      <c r="S30">
        <v>0</v>
      </c>
      <c r="T30">
        <v>0</v>
      </c>
      <c r="U30">
        <v>0</v>
      </c>
      <c r="V30">
        <v>206.27759044976409</v>
      </c>
      <c r="W30">
        <v>0</v>
      </c>
      <c r="X30">
        <v>0</v>
      </c>
      <c r="Y30">
        <v>0</v>
      </c>
      <c r="Z30">
        <v>0</v>
      </c>
      <c r="AA30">
        <v>0</v>
      </c>
      <c r="AB30">
        <v>225.48047772223947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60.151509903735665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26.086113988864959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108.99173004423241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1010.7821143080363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0.43842208384646986</v>
      </c>
      <c r="BG30">
        <v>0</v>
      </c>
      <c r="BH30">
        <v>0</v>
      </c>
      <c r="BI30">
        <v>0</v>
      </c>
      <c r="BJ30">
        <v>0</v>
      </c>
    </row>
    <row r="31" spans="1:62" x14ac:dyDescent="0.3">
      <c r="A31" s="1" t="s">
        <v>46</v>
      </c>
      <c r="B31">
        <f>'Todos los Datos (2)'!B31*Hoja1!$K$17+'Todos los Datos (2)'!G31*Hoja1!$K$18+'Todos los Datos (2)'!L31*Hoja1!$K$19+'Todos los Datos (2)'!Q31*Hoja1!$K$20+'Todos los Datos (2)'!V31*Hoja1!$K$21+'Todos los Datos (2)'!AA31*Hoja1!$K$22+'Todos los Datos (2)'!AF31*Hoja1!$K$23+'Todos los Datos (2)'!AK31*Hoja1!$K$24</f>
        <v>173.18228835298521</v>
      </c>
      <c r="C31">
        <f>'Todos los Datos (2)'!C31*Hoja1!$K$17+'Todos los Datos (2)'!H31*Hoja1!$K$18+'Todos los Datos (2)'!M31*Hoja1!$K$19+'Todos los Datos (2)'!R31*Hoja1!$K$20+'Todos los Datos (2)'!W31*Hoja1!$K$21+'Todos los Datos (2)'!AB31*Hoja1!$K$22+'Todos los Datos (2)'!AG31*Hoja1!$K$23+'Todos los Datos (2)'!AL31*Hoja1!$K$24</f>
        <v>160.99143339662703</v>
      </c>
      <c r="D31">
        <f>'Todos los Datos (2)'!D31*Hoja1!$K$17+'Todos los Datos (2)'!I31*Hoja1!$K$18+'Todos los Datos (2)'!N31*Hoja1!$K$19+'Todos los Datos (2)'!S31*Hoja1!$K$20+'Todos los Datos (2)'!X31*Hoja1!$K$21+'Todos los Datos (2)'!AC31*Hoja1!$K$22+'Todos los Datos (2)'!AH31*Hoja1!$K$23+'Todos los Datos (2)'!AM31*Hoja1!$K$24</f>
        <v>192.04502637579364</v>
      </c>
      <c r="E31">
        <f>'Todos los Datos (2)'!E31*Hoja1!$K$17+'Todos los Datos (2)'!J31*Hoja1!$K$18+'Todos los Datos (2)'!O31*Hoja1!$K$19+'Todos los Datos (2)'!T31*Hoja1!$K$20+'Todos los Datos (2)'!Y31*Hoja1!$K$21+'Todos los Datos (2)'!AD31*Hoja1!$K$22+'Todos los Datos (2)'!AI31*Hoja1!$K$23+'Todos los Datos (2)'!AN31*Hoja1!$K$24</f>
        <v>205.46592021191117</v>
      </c>
      <c r="F31">
        <f>'Todos los Datos (2)'!F31*Hoja1!$K$17+'Todos los Datos (2)'!K31*Hoja1!$K$18+'Todos los Datos (2)'!P31*Hoja1!$K$19+'Todos los Datos (2)'!U31*Hoja1!$K$20+'Todos los Datos (2)'!Z31*Hoja1!$K$21+'Todos los Datos (2)'!AE31*Hoja1!$K$22+'Todos los Datos (2)'!AJ31*Hoja1!$K$23+'Todos los Datos (2)'!AO31*Hoja1!$K$24</f>
        <v>170.22447160643534</v>
      </c>
    </row>
    <row r="32" spans="1:62" x14ac:dyDescent="0.3">
      <c r="A32" s="1" t="s">
        <v>22</v>
      </c>
      <c r="B32">
        <f>'Todos los Datos (2)'!B32*Hoja1!$K$17+'Todos los Datos (2)'!G32*Hoja1!$K$18+'Todos los Datos (2)'!L32*Hoja1!$K$19+'Todos los Datos (2)'!Q32*Hoja1!$K$20+'Todos los Datos (2)'!V32*Hoja1!$K$21+'Todos los Datos (2)'!AA32*Hoja1!$K$22+'Todos los Datos (2)'!AF32*Hoja1!$K$23+'Todos los Datos (2)'!AK32*Hoja1!$K$24</f>
        <v>129.22506676167978</v>
      </c>
      <c r="C32">
        <f>'Todos los Datos (2)'!C32*Hoja1!$K$17+'Todos los Datos (2)'!H32*Hoja1!$K$18+'Todos los Datos (2)'!M32*Hoja1!$K$19+'Todos los Datos (2)'!R32*Hoja1!$K$20+'Todos los Datos (2)'!W32*Hoja1!$K$21+'Todos los Datos (2)'!AB32*Hoja1!$K$22+'Todos los Datos (2)'!AG32*Hoja1!$K$23+'Todos los Datos (2)'!AL32*Hoja1!$K$24</f>
        <v>155.9311490136831</v>
      </c>
      <c r="D32">
        <f>'Todos los Datos (2)'!D32*Hoja1!$K$17+'Todos los Datos (2)'!I32*Hoja1!$K$18+'Todos los Datos (2)'!N32*Hoja1!$K$19+'Todos los Datos (2)'!S32*Hoja1!$K$20+'Todos los Datos (2)'!X32*Hoja1!$K$21+'Todos los Datos (2)'!AC32*Hoja1!$K$22+'Todos los Datos (2)'!AH32*Hoja1!$K$23+'Todos los Datos (2)'!AM32*Hoja1!$K$24</f>
        <v>195.74581299542058</v>
      </c>
      <c r="E32">
        <f>'Todos los Datos (2)'!E32*Hoja1!$K$17+'Todos los Datos (2)'!J32*Hoja1!$K$18+'Todos los Datos (2)'!O32*Hoja1!$K$19+'Todos los Datos (2)'!T32*Hoja1!$K$20+'Todos los Datos (2)'!Y32*Hoja1!$K$21+'Todos los Datos (2)'!AD32*Hoja1!$K$22+'Todos los Datos (2)'!AI32*Hoja1!$K$23+'Todos los Datos (2)'!AN32*Hoja1!$K$24</f>
        <v>186.47388290722461</v>
      </c>
      <c r="F32">
        <f>'Todos los Datos (2)'!F32*Hoja1!$K$17+'Todos los Datos (2)'!K32*Hoja1!$K$18+'Todos los Datos (2)'!P32*Hoja1!$K$19+'Todos los Datos (2)'!U32*Hoja1!$K$20+'Todos los Datos (2)'!Z32*Hoja1!$K$21+'Todos los Datos (2)'!AE32*Hoja1!$K$22+'Todos los Datos (2)'!AJ32*Hoja1!$K$23+'Todos los Datos (2)'!AO32*Hoja1!$K$24</f>
        <v>252.93018292741394</v>
      </c>
    </row>
    <row r="33" spans="1:6" x14ac:dyDescent="0.3">
      <c r="A33" s="1" t="s">
        <v>23</v>
      </c>
      <c r="B33">
        <f>'Todos los Datos (2)'!B33*Hoja1!$K$17+'Todos los Datos (2)'!G33*Hoja1!$K$18+'Todos los Datos (2)'!L33*Hoja1!$K$19+'Todos los Datos (2)'!Q33*Hoja1!$K$20+'Todos los Datos (2)'!V33*Hoja1!$K$21+'Todos los Datos (2)'!AA33*Hoja1!$K$22+'Todos los Datos (2)'!AF33*Hoja1!$K$23+'Todos los Datos (2)'!AK33*Hoja1!$K$24</f>
        <v>184.26676590540018</v>
      </c>
      <c r="C33">
        <f>'Todos los Datos (2)'!C33*Hoja1!$K$17+'Todos los Datos (2)'!H33*Hoja1!$K$18+'Todos los Datos (2)'!M33*Hoja1!$K$19+'Todos los Datos (2)'!R33*Hoja1!$K$20+'Todos los Datos (2)'!W33*Hoja1!$K$21+'Todos los Datos (2)'!AB33*Hoja1!$K$22+'Todos los Datos (2)'!AG33*Hoja1!$K$23+'Todos los Datos (2)'!AL33*Hoja1!$K$24</f>
        <v>216.27046763823199</v>
      </c>
      <c r="D33">
        <f>'Todos los Datos (2)'!D33*Hoja1!$K$17+'Todos los Datos (2)'!I33*Hoja1!$K$18+'Todos los Datos (2)'!N33*Hoja1!$K$19+'Todos los Datos (2)'!S33*Hoja1!$K$20+'Todos los Datos (2)'!X33*Hoja1!$K$21+'Todos los Datos (2)'!AC33*Hoja1!$K$22+'Todos los Datos (2)'!AH33*Hoja1!$K$23+'Todos los Datos (2)'!AM33*Hoja1!$K$24</f>
        <v>217.24346956374458</v>
      </c>
      <c r="E33">
        <f>'Todos los Datos (2)'!E33*Hoja1!$K$17+'Todos los Datos (2)'!J33*Hoja1!$K$18+'Todos los Datos (2)'!O33*Hoja1!$K$19+'Todos los Datos (2)'!T33*Hoja1!$K$20+'Todos los Datos (2)'!Y33*Hoja1!$K$21+'Todos los Datos (2)'!AD33*Hoja1!$K$22+'Todos los Datos (2)'!AI33*Hoja1!$K$23+'Todos los Datos (2)'!AN33*Hoja1!$K$24</f>
        <v>328.07077245603688</v>
      </c>
      <c r="F33">
        <f>'Todos los Datos (2)'!F33*Hoja1!$K$17+'Todos los Datos (2)'!K33*Hoja1!$K$18+'Todos los Datos (2)'!P33*Hoja1!$K$19+'Todos los Datos (2)'!U33*Hoja1!$K$20+'Todos los Datos (2)'!Z33*Hoja1!$K$21+'Todos los Datos (2)'!AE33*Hoja1!$K$22+'Todos los Datos (2)'!AJ33*Hoja1!$K$23+'Todos los Datos (2)'!AO33*Hoja1!$K$24</f>
        <v>239.11109421809564</v>
      </c>
    </row>
    <row r="34" spans="1:6" x14ac:dyDescent="0.3">
      <c r="A34" s="1" t="s">
        <v>24</v>
      </c>
      <c r="B34">
        <f>'Todos los Datos (2)'!B34*Hoja1!$K$17+'Todos los Datos (2)'!G34*Hoja1!$K$18+'Todos los Datos (2)'!L34*Hoja1!$K$19+'Todos los Datos (2)'!Q34*Hoja1!$K$20+'Todos los Datos (2)'!V34*Hoja1!$K$21+'Todos los Datos (2)'!AA34*Hoja1!$K$22+'Todos los Datos (2)'!AF34*Hoja1!$K$23+'Todos los Datos (2)'!AK34*Hoja1!$K$24</f>
        <v>163.70013126074969</v>
      </c>
      <c r="C34">
        <f>'Todos los Datos (2)'!C34*Hoja1!$K$17+'Todos los Datos (2)'!H34*Hoja1!$K$18+'Todos los Datos (2)'!M34*Hoja1!$K$19+'Todos los Datos (2)'!R34*Hoja1!$K$20+'Todos los Datos (2)'!W34*Hoja1!$K$21+'Todos los Datos (2)'!AB34*Hoja1!$K$22+'Todos los Datos (2)'!AG34*Hoja1!$K$23+'Todos los Datos (2)'!AL34*Hoja1!$K$24</f>
        <v>174.97022090532462</v>
      </c>
      <c r="D34">
        <f>'Todos los Datos (2)'!D34*Hoja1!$K$17+'Todos los Datos (2)'!I34*Hoja1!$K$18+'Todos los Datos (2)'!N34*Hoja1!$K$19+'Todos los Datos (2)'!S34*Hoja1!$K$20+'Todos los Datos (2)'!X34*Hoja1!$K$21+'Todos los Datos (2)'!AC34*Hoja1!$K$22+'Todos los Datos (2)'!AH34*Hoja1!$K$23+'Todos los Datos (2)'!AM34*Hoja1!$K$24</f>
        <v>237.99152614458228</v>
      </c>
      <c r="E34">
        <f>'Todos los Datos (2)'!E34*Hoja1!$K$17+'Todos los Datos (2)'!J34*Hoja1!$K$18+'Todos los Datos (2)'!O34*Hoja1!$K$19+'Todos los Datos (2)'!T34*Hoja1!$K$20+'Todos los Datos (2)'!Y34*Hoja1!$K$21+'Todos los Datos (2)'!AD34*Hoja1!$K$22+'Todos los Datos (2)'!AI34*Hoja1!$K$23+'Todos los Datos (2)'!AN34*Hoja1!$K$24</f>
        <v>240.18131144721013</v>
      </c>
      <c r="F34">
        <f>'Todos los Datos (2)'!F34*Hoja1!$K$17+'Todos los Datos (2)'!K34*Hoja1!$K$18+'Todos los Datos (2)'!P34*Hoja1!$K$19+'Todos los Datos (2)'!U34*Hoja1!$K$20+'Todos los Datos (2)'!Z34*Hoja1!$K$21+'Todos los Datos (2)'!AE34*Hoja1!$K$22+'Todos los Datos (2)'!AJ34*Hoja1!$K$23+'Todos los Datos (2)'!AO34*Hoja1!$K$24</f>
        <v>246.55714155441544</v>
      </c>
    </row>
    <row r="35" spans="1:6" x14ac:dyDescent="0.3">
      <c r="A35" s="1" t="s">
        <v>25</v>
      </c>
      <c r="B35">
        <f>'Todos los Datos (2)'!B35*Hoja1!$K$17+'Todos los Datos (2)'!G35*Hoja1!$K$18+'Todos los Datos (2)'!L35*Hoja1!$K$19+'Todos los Datos (2)'!Q35*Hoja1!$K$20+'Todos los Datos (2)'!V35*Hoja1!$K$21+'Todos los Datos (2)'!AA35*Hoja1!$K$22+'Todos los Datos (2)'!AF35*Hoja1!$K$23+'Todos los Datos (2)'!AK35*Hoja1!$K$24</f>
        <v>54.647894189555451</v>
      </c>
      <c r="C35">
        <f>'Todos los Datos (2)'!C35*Hoja1!$K$17+'Todos los Datos (2)'!H35*Hoja1!$K$18+'Todos los Datos (2)'!M35*Hoja1!$K$19+'Todos los Datos (2)'!R35*Hoja1!$K$20+'Todos los Datos (2)'!W35*Hoja1!$K$21+'Todos los Datos (2)'!AB35*Hoja1!$K$22+'Todos los Datos (2)'!AG35*Hoja1!$K$23+'Todos los Datos (2)'!AL35*Hoja1!$K$24</f>
        <v>99.1574024092983</v>
      </c>
      <c r="D35">
        <f>'Todos los Datos (2)'!D35*Hoja1!$K$17+'Todos los Datos (2)'!I35*Hoja1!$K$18+'Todos los Datos (2)'!N35*Hoja1!$K$19+'Todos los Datos (2)'!S35*Hoja1!$K$20+'Todos los Datos (2)'!X35*Hoja1!$K$21+'Todos los Datos (2)'!AC35*Hoja1!$K$22+'Todos los Datos (2)'!AH35*Hoja1!$K$23+'Todos los Datos (2)'!AM35*Hoja1!$K$24</f>
        <v>74.732107798348977</v>
      </c>
      <c r="E35">
        <f>'Todos los Datos (2)'!E35*Hoja1!$K$17+'Todos los Datos (2)'!J35*Hoja1!$K$18+'Todos los Datos (2)'!O35*Hoja1!$K$19+'Todos los Datos (2)'!T35*Hoja1!$K$20+'Todos los Datos (2)'!Y35*Hoja1!$K$21+'Todos los Datos (2)'!AD35*Hoja1!$K$22+'Todos los Datos (2)'!AI35*Hoja1!$K$23+'Todos los Datos (2)'!AN35*Hoja1!$K$24</f>
        <v>89.829782943621552</v>
      </c>
      <c r="F35">
        <f>'Todos los Datos (2)'!F35*Hoja1!$K$17+'Todos los Datos (2)'!K35*Hoja1!$K$18+'Todos los Datos (2)'!P35*Hoja1!$K$19+'Todos los Datos (2)'!U35*Hoja1!$K$20+'Todos los Datos (2)'!Z35*Hoja1!$K$21+'Todos los Datos (2)'!AE35*Hoja1!$K$22+'Todos los Datos (2)'!AJ35*Hoja1!$K$23+'Todos los Datos (2)'!AO35*Hoja1!$K$24</f>
        <v>57.54354463923012</v>
      </c>
    </row>
    <row r="36" spans="1:6" x14ac:dyDescent="0.3">
      <c r="A36" s="1" t="s">
        <v>26</v>
      </c>
      <c r="B36">
        <f>'Todos los Datos (2)'!B36*Hoja1!$K$17+'Todos los Datos (2)'!G36*Hoja1!$K$18+'Todos los Datos (2)'!L36*Hoja1!$K$19+'Todos los Datos (2)'!Q36*Hoja1!$K$20+'Todos los Datos (2)'!V36*Hoja1!$K$21+'Todos los Datos (2)'!AA36*Hoja1!$K$22+'Todos los Datos (2)'!AF36*Hoja1!$K$23+'Todos los Datos (2)'!AK36*Hoja1!$K$24</f>
        <v>117.34553762951518</v>
      </c>
      <c r="C36">
        <f>'Todos los Datos (2)'!C36*Hoja1!$K$17+'Todos los Datos (2)'!H36*Hoja1!$K$18+'Todos los Datos (2)'!M36*Hoja1!$K$19+'Todos los Datos (2)'!R36*Hoja1!$K$20+'Todos los Datos (2)'!W36*Hoja1!$K$21+'Todos los Datos (2)'!AB36*Hoja1!$K$22+'Todos los Datos (2)'!AG36*Hoja1!$K$23+'Todos los Datos (2)'!AL36*Hoja1!$K$24</f>
        <v>95.000064913468165</v>
      </c>
      <c r="D36">
        <f>'Todos los Datos (2)'!D36*Hoja1!$K$17+'Todos los Datos (2)'!I36*Hoja1!$K$18+'Todos los Datos (2)'!N36*Hoja1!$K$19+'Todos los Datos (2)'!S36*Hoja1!$K$20+'Todos los Datos (2)'!X36*Hoja1!$K$21+'Todos los Datos (2)'!AC36*Hoja1!$K$22+'Todos los Datos (2)'!AH36*Hoja1!$K$23+'Todos los Datos (2)'!AM36*Hoja1!$K$24</f>
        <v>130.82397086115856</v>
      </c>
      <c r="E36">
        <f>'Todos los Datos (2)'!E36*Hoja1!$K$17+'Todos los Datos (2)'!J36*Hoja1!$K$18+'Todos los Datos (2)'!O36*Hoja1!$K$19+'Todos los Datos (2)'!T36*Hoja1!$K$20+'Todos los Datos (2)'!Y36*Hoja1!$K$21+'Todos los Datos (2)'!AD36*Hoja1!$K$22+'Todos los Datos (2)'!AI36*Hoja1!$K$23+'Todos los Datos (2)'!AN36*Hoja1!$K$24</f>
        <v>94.107432844908487</v>
      </c>
      <c r="F36">
        <f>'Todos los Datos (2)'!F36*Hoja1!$K$17+'Todos los Datos (2)'!K36*Hoja1!$K$18+'Todos los Datos (2)'!P36*Hoja1!$K$19+'Todos los Datos (2)'!U36*Hoja1!$K$20+'Todos los Datos (2)'!Z36*Hoja1!$K$21+'Todos los Datos (2)'!AE36*Hoja1!$K$22+'Todos los Datos (2)'!AJ36*Hoja1!$K$23+'Todos los Datos (2)'!AO36*Hoja1!$K$24</f>
        <v>133.69742780220631</v>
      </c>
    </row>
    <row r="37" spans="1:6" x14ac:dyDescent="0.3">
      <c r="A37" s="1" t="s">
        <v>47</v>
      </c>
      <c r="B37">
        <f>'Todos los Datos (2)'!B37*Hoja1!$K$17+'Todos los Datos (2)'!G37*Hoja1!$K$18+'Todos los Datos (2)'!L37*Hoja1!$K$19+'Todos los Datos (2)'!Q37*Hoja1!$K$20+'Todos los Datos (2)'!V37*Hoja1!$K$21+'Todos los Datos (2)'!AA37*Hoja1!$K$22+'Todos los Datos (2)'!AF37*Hoja1!$K$23+'Todos los Datos (2)'!AK37*Hoja1!$K$24</f>
        <v>194.0816698056887</v>
      </c>
      <c r="C37">
        <f>'Todos los Datos (2)'!C37*Hoja1!$K$17+'Todos los Datos (2)'!H37*Hoja1!$K$18+'Todos los Datos (2)'!M37*Hoja1!$K$19+'Todos los Datos (2)'!R37*Hoja1!$K$20+'Todos los Datos (2)'!W37*Hoja1!$K$21+'Todos los Datos (2)'!AB37*Hoja1!$K$22+'Todos los Datos (2)'!AG37*Hoja1!$K$23+'Todos los Datos (2)'!AL37*Hoja1!$K$24</f>
        <v>252.71156229471939</v>
      </c>
      <c r="D37">
        <f>'Todos los Datos (2)'!D37*Hoja1!$K$17+'Todos los Datos (2)'!I37*Hoja1!$K$18+'Todos los Datos (2)'!N37*Hoja1!$K$19+'Todos los Datos (2)'!S37*Hoja1!$K$20+'Todos los Datos (2)'!X37*Hoja1!$K$21+'Todos los Datos (2)'!AC37*Hoja1!$K$22+'Todos los Datos (2)'!AH37*Hoja1!$K$23+'Todos los Datos (2)'!AM37*Hoja1!$K$24</f>
        <v>292.22211365918838</v>
      </c>
      <c r="E37">
        <f>'Todos los Datos (2)'!E37*Hoja1!$K$17+'Todos los Datos (2)'!J37*Hoja1!$K$18+'Todos los Datos (2)'!O37*Hoja1!$K$19+'Todos los Datos (2)'!T37*Hoja1!$K$20+'Todos los Datos (2)'!Y37*Hoja1!$K$21+'Todos los Datos (2)'!AD37*Hoja1!$K$22+'Todos los Datos (2)'!AI37*Hoja1!$K$23+'Todos los Datos (2)'!AN37*Hoja1!$K$24</f>
        <v>315.70361537971871</v>
      </c>
      <c r="F37">
        <f>'Todos los Datos (2)'!F37*Hoja1!$K$17+'Todos los Datos (2)'!K37*Hoja1!$K$18+'Todos los Datos (2)'!P37*Hoja1!$K$19+'Todos los Datos (2)'!U37*Hoja1!$K$20+'Todos los Datos (2)'!Z37*Hoja1!$K$21+'Todos los Datos (2)'!AE37*Hoja1!$K$22+'Todos los Datos (2)'!AJ37*Hoja1!$K$23+'Todos los Datos (2)'!AO37*Hoja1!$K$24</f>
        <v>290.40090339430333</v>
      </c>
    </row>
    <row r="38" spans="1:6" x14ac:dyDescent="0.3">
      <c r="A38" s="1" t="s">
        <v>27</v>
      </c>
      <c r="B38">
        <f>'Todos los Datos (2)'!B38*Hoja1!$K$17+'Todos los Datos (2)'!G38*Hoja1!$K$18+'Todos los Datos (2)'!L38*Hoja1!$K$19+'Todos los Datos (2)'!Q38*Hoja1!$K$20+'Todos los Datos (2)'!V38*Hoja1!$K$21+'Todos los Datos (2)'!AA38*Hoja1!$K$22+'Todos los Datos (2)'!AF38*Hoja1!$K$23+'Todos los Datos (2)'!AK38*Hoja1!$K$24</f>
        <v>103.64224576985632</v>
      </c>
      <c r="C38">
        <f>'Todos los Datos (2)'!C38*Hoja1!$K$17+'Todos los Datos (2)'!H38*Hoja1!$K$18+'Todos los Datos (2)'!M38*Hoja1!$K$19+'Todos los Datos (2)'!R38*Hoja1!$K$20+'Todos los Datos (2)'!W38*Hoja1!$K$21+'Todos los Datos (2)'!AB38*Hoja1!$K$22+'Todos los Datos (2)'!AG38*Hoja1!$K$23+'Todos los Datos (2)'!AL38*Hoja1!$K$24</f>
        <v>127.95155955608895</v>
      </c>
      <c r="D38">
        <f>'Todos los Datos (2)'!D38*Hoja1!$K$17+'Todos los Datos (2)'!I38*Hoja1!$K$18+'Todos los Datos (2)'!N38*Hoja1!$K$19+'Todos los Datos (2)'!S38*Hoja1!$K$20+'Todos los Datos (2)'!X38*Hoja1!$K$21+'Todos los Datos (2)'!AC38*Hoja1!$K$22+'Todos los Datos (2)'!AH38*Hoja1!$K$23+'Todos los Datos (2)'!AM38*Hoja1!$K$24</f>
        <v>128.31372113553974</v>
      </c>
      <c r="E38">
        <f>'Todos los Datos (2)'!E38*Hoja1!$K$17+'Todos los Datos (2)'!J38*Hoja1!$K$18+'Todos los Datos (2)'!O38*Hoja1!$K$19+'Todos los Datos (2)'!T38*Hoja1!$K$20+'Todos los Datos (2)'!Y38*Hoja1!$K$21+'Todos los Datos (2)'!AD38*Hoja1!$K$22+'Todos los Datos (2)'!AI38*Hoja1!$K$23+'Todos los Datos (2)'!AN38*Hoja1!$K$24</f>
        <v>99.835723789980847</v>
      </c>
      <c r="F38">
        <f>'Todos los Datos (2)'!F38*Hoja1!$K$17+'Todos los Datos (2)'!K38*Hoja1!$K$18+'Todos los Datos (2)'!P38*Hoja1!$K$19+'Todos los Datos (2)'!U38*Hoja1!$K$20+'Todos los Datos (2)'!Z38*Hoja1!$K$21+'Todos los Datos (2)'!AE38*Hoja1!$K$22+'Todos los Datos (2)'!AJ38*Hoja1!$K$23+'Todos los Datos (2)'!AO38*Hoja1!$K$24</f>
        <v>108.91319539876106</v>
      </c>
    </row>
    <row r="39" spans="1:6" x14ac:dyDescent="0.3">
      <c r="A39" s="1" t="s">
        <v>28</v>
      </c>
      <c r="B39">
        <f>'Todos los Datos (2)'!B39*Hoja1!$K$17+'Todos los Datos (2)'!G39*Hoja1!$K$18+'Todos los Datos (2)'!L39*Hoja1!$K$19+'Todos los Datos (2)'!Q39*Hoja1!$K$20+'Todos los Datos (2)'!V39*Hoja1!$K$21+'Todos los Datos (2)'!AA39*Hoja1!$K$22+'Todos los Datos (2)'!AF39*Hoja1!$K$23+'Todos los Datos (2)'!AK39*Hoja1!$K$24</f>
        <v>97.288158327412745</v>
      </c>
      <c r="C39">
        <f>'Todos los Datos (2)'!C39*Hoja1!$K$17+'Todos los Datos (2)'!H39*Hoja1!$K$18+'Todos los Datos (2)'!M39*Hoja1!$K$19+'Todos los Datos (2)'!R39*Hoja1!$K$20+'Todos los Datos (2)'!W39*Hoja1!$K$21+'Todos los Datos (2)'!AB39*Hoja1!$K$22+'Todos los Datos (2)'!AG39*Hoja1!$K$23+'Todos los Datos (2)'!AL39*Hoja1!$K$24</f>
        <v>105.60458915135936</v>
      </c>
      <c r="D39">
        <f>'Todos los Datos (2)'!D39*Hoja1!$K$17+'Todos los Datos (2)'!I39*Hoja1!$K$18+'Todos los Datos (2)'!N39*Hoja1!$K$19+'Todos los Datos (2)'!S39*Hoja1!$K$20+'Todos los Datos (2)'!X39*Hoja1!$K$21+'Todos los Datos (2)'!AC39*Hoja1!$K$22+'Todos los Datos (2)'!AH39*Hoja1!$K$23+'Todos los Datos (2)'!AM39*Hoja1!$K$24</f>
        <v>117.5394414060633</v>
      </c>
      <c r="E39">
        <f>'Todos los Datos (2)'!E39*Hoja1!$K$17+'Todos los Datos (2)'!J39*Hoja1!$K$18+'Todos los Datos (2)'!O39*Hoja1!$K$19+'Todos los Datos (2)'!T39*Hoja1!$K$20+'Todos los Datos (2)'!Y39*Hoja1!$K$21+'Todos los Datos (2)'!AD39*Hoja1!$K$22+'Todos los Datos (2)'!AI39*Hoja1!$K$23+'Todos los Datos (2)'!AN39*Hoja1!$K$24</f>
        <v>152.92718030908765</v>
      </c>
      <c r="F39">
        <f>'Todos los Datos (2)'!F39*Hoja1!$K$17+'Todos los Datos (2)'!K39*Hoja1!$K$18+'Todos los Datos (2)'!P39*Hoja1!$K$19+'Todos los Datos (2)'!U39*Hoja1!$K$20+'Todos los Datos (2)'!Z39*Hoja1!$K$21+'Todos los Datos (2)'!AE39*Hoja1!$K$22+'Todos los Datos (2)'!AJ39*Hoja1!$K$23+'Todos los Datos (2)'!AO39*Hoja1!$K$24</f>
        <v>130.83316339011273</v>
      </c>
    </row>
    <row r="40" spans="1:6" x14ac:dyDescent="0.3">
      <c r="A40" s="1" t="s">
        <v>29</v>
      </c>
      <c r="B40">
        <f>'Todos los Datos (2)'!B40*Hoja1!$K$17+'Todos los Datos (2)'!G40*Hoja1!$K$18+'Todos los Datos (2)'!L40*Hoja1!$K$19+'Todos los Datos (2)'!Q40*Hoja1!$K$20+'Todos los Datos (2)'!V40*Hoja1!$K$21+'Todos los Datos (2)'!AA40*Hoja1!$K$22+'Todos los Datos (2)'!AF40*Hoja1!$K$23+'Todos los Datos (2)'!AK40*Hoja1!$K$24</f>
        <v>133.92784059794457</v>
      </c>
      <c r="C40">
        <f>'Todos los Datos (2)'!C40*Hoja1!$K$17+'Todos los Datos (2)'!H40*Hoja1!$K$18+'Todos los Datos (2)'!M40*Hoja1!$K$19+'Todos los Datos (2)'!R40*Hoja1!$K$20+'Todos los Datos (2)'!W40*Hoja1!$K$21+'Todos los Datos (2)'!AB40*Hoja1!$K$22+'Todos los Datos (2)'!AG40*Hoja1!$K$23+'Todos los Datos (2)'!AL40*Hoja1!$K$24</f>
        <v>199.80223708680217</v>
      </c>
      <c r="D40">
        <f>'Todos los Datos (2)'!D40*Hoja1!$K$17+'Todos los Datos (2)'!I40*Hoja1!$K$18+'Todos los Datos (2)'!N40*Hoja1!$K$19+'Todos los Datos (2)'!S40*Hoja1!$K$20+'Todos los Datos (2)'!X40*Hoja1!$K$21+'Todos los Datos (2)'!AC40*Hoja1!$K$22+'Todos los Datos (2)'!AH40*Hoja1!$K$23+'Todos los Datos (2)'!AM40*Hoja1!$K$24</f>
        <v>188.35492445296035</v>
      </c>
      <c r="E40">
        <f>'Todos los Datos (2)'!E40*Hoja1!$K$17+'Todos los Datos (2)'!J40*Hoja1!$K$18+'Todos los Datos (2)'!O40*Hoja1!$K$19+'Todos los Datos (2)'!T40*Hoja1!$K$20+'Todos los Datos (2)'!Y40*Hoja1!$K$21+'Todos los Datos (2)'!AD40*Hoja1!$K$22+'Todos los Datos (2)'!AI40*Hoja1!$K$23+'Todos los Datos (2)'!AN40*Hoja1!$K$24</f>
        <v>132.88182259653601</v>
      </c>
      <c r="F40">
        <f>'Todos los Datos (2)'!F40*Hoja1!$K$17+'Todos los Datos (2)'!K40*Hoja1!$K$18+'Todos los Datos (2)'!P40*Hoja1!$K$19+'Todos los Datos (2)'!U40*Hoja1!$K$20+'Todos los Datos (2)'!Z40*Hoja1!$K$21+'Todos los Datos (2)'!AE40*Hoja1!$K$22+'Todos los Datos (2)'!AJ40*Hoja1!$K$23+'Todos los Datos (2)'!AO40*Hoja1!$K$24</f>
        <v>225.77606735261327</v>
      </c>
    </row>
    <row r="41" spans="1:6" x14ac:dyDescent="0.3">
      <c r="A41" s="1" t="s">
        <v>30</v>
      </c>
      <c r="B41">
        <f>'Todos los Datos (2)'!B41*Hoja1!$K$17+'Todos los Datos (2)'!G41*Hoja1!$K$18+'Todos los Datos (2)'!L41*Hoja1!$K$19+'Todos los Datos (2)'!Q41*Hoja1!$K$20+'Todos los Datos (2)'!V41*Hoja1!$K$21+'Todos los Datos (2)'!AA41*Hoja1!$K$22+'Todos los Datos (2)'!AF41*Hoja1!$K$23+'Todos los Datos (2)'!AK41*Hoja1!$K$24</f>
        <v>174.51857164501985</v>
      </c>
      <c r="C41">
        <f>'Todos los Datos (2)'!C41*Hoja1!$K$17+'Todos los Datos (2)'!H41*Hoja1!$K$18+'Todos los Datos (2)'!M41*Hoja1!$K$19+'Todos los Datos (2)'!R41*Hoja1!$K$20+'Todos los Datos (2)'!W41*Hoja1!$K$21+'Todos los Datos (2)'!AB41*Hoja1!$K$22+'Todos los Datos (2)'!AG41*Hoja1!$K$23+'Todos los Datos (2)'!AL41*Hoja1!$K$24</f>
        <v>204.31397897566927</v>
      </c>
      <c r="D41">
        <f>'Todos los Datos (2)'!D41*Hoja1!$K$17+'Todos los Datos (2)'!I41*Hoja1!$K$18+'Todos los Datos (2)'!N41*Hoja1!$K$19+'Todos los Datos (2)'!S41*Hoja1!$K$20+'Todos los Datos (2)'!X41*Hoja1!$K$21+'Todos los Datos (2)'!AC41*Hoja1!$K$22+'Todos los Datos (2)'!AH41*Hoja1!$K$23+'Todos los Datos (2)'!AM41*Hoja1!$K$24</f>
        <v>303.08178124401667</v>
      </c>
      <c r="E41">
        <f>'Todos los Datos (2)'!E41*Hoja1!$K$17+'Todos los Datos (2)'!J41*Hoja1!$K$18+'Todos los Datos (2)'!O41*Hoja1!$K$19+'Todos los Datos (2)'!T41*Hoja1!$K$20+'Todos los Datos (2)'!Y41*Hoja1!$K$21+'Todos los Datos (2)'!AD41*Hoja1!$K$22+'Todos los Datos (2)'!AI41*Hoja1!$K$23+'Todos los Datos (2)'!AN41*Hoja1!$K$24</f>
        <v>268.4346697232844</v>
      </c>
      <c r="F41">
        <f>'Todos los Datos (2)'!F41*Hoja1!$K$17+'Todos los Datos (2)'!K41*Hoja1!$K$18+'Todos los Datos (2)'!P41*Hoja1!$K$19+'Todos los Datos (2)'!U41*Hoja1!$K$20+'Todos los Datos (2)'!Z41*Hoja1!$K$21+'Todos los Datos (2)'!AE41*Hoja1!$K$22+'Todos los Datos (2)'!AJ41*Hoja1!$K$23+'Todos los Datos (2)'!AO41*Hoja1!$K$24</f>
        <v>282.13688695381438</v>
      </c>
    </row>
    <row r="42" spans="1:6" x14ac:dyDescent="0.3">
      <c r="A42" s="1" t="s">
        <v>31</v>
      </c>
      <c r="B42">
        <f>'Todos los Datos (2)'!B42*Hoja1!$K$17+'Todos los Datos (2)'!G42*Hoja1!$K$18+'Todos los Datos (2)'!L42*Hoja1!$K$19+'Todos los Datos (2)'!Q42*Hoja1!$K$20+'Todos los Datos (2)'!V42*Hoja1!$K$21+'Todos los Datos (2)'!AA42*Hoja1!$K$22+'Todos los Datos (2)'!AF42*Hoja1!$K$23+'Todos los Datos (2)'!AK42*Hoja1!$K$24</f>
        <v>379.21232942146986</v>
      </c>
      <c r="C42">
        <f>'Todos los Datos (2)'!C42*Hoja1!$K$17+'Todos los Datos (2)'!H42*Hoja1!$K$18+'Todos los Datos (2)'!M42*Hoja1!$K$19+'Todos los Datos (2)'!R42*Hoja1!$K$20+'Todos los Datos (2)'!W42*Hoja1!$K$21+'Todos los Datos (2)'!AB42*Hoja1!$K$22+'Todos los Datos (2)'!AG42*Hoja1!$K$23+'Todos los Datos (2)'!AL42*Hoja1!$K$24</f>
        <v>506.11794721101853</v>
      </c>
      <c r="D42">
        <f>'Todos los Datos (2)'!D42*Hoja1!$K$17+'Todos los Datos (2)'!I42*Hoja1!$K$18+'Todos los Datos (2)'!N42*Hoja1!$K$19+'Todos los Datos (2)'!S42*Hoja1!$K$20+'Todos los Datos (2)'!X42*Hoja1!$K$21+'Todos los Datos (2)'!AC42*Hoja1!$K$22+'Todos los Datos (2)'!AH42*Hoja1!$K$23+'Todos los Datos (2)'!AM42*Hoja1!$K$24</f>
        <v>543.11668810882713</v>
      </c>
      <c r="E42">
        <f>'Todos los Datos (2)'!E42*Hoja1!$K$17+'Todos los Datos (2)'!J42*Hoja1!$K$18+'Todos los Datos (2)'!O42*Hoja1!$K$19+'Todos los Datos (2)'!T42*Hoja1!$K$20+'Todos los Datos (2)'!Y42*Hoja1!$K$21+'Todos los Datos (2)'!AD42*Hoja1!$K$22+'Todos los Datos (2)'!AI42*Hoja1!$K$23+'Todos los Datos (2)'!AN42*Hoja1!$K$24</f>
        <v>494.29807356057415</v>
      </c>
      <c r="F42">
        <f>'Todos los Datos (2)'!F42*Hoja1!$K$17+'Todos los Datos (2)'!K42*Hoja1!$K$18+'Todos los Datos (2)'!P42*Hoja1!$K$19+'Todos los Datos (2)'!U42*Hoja1!$K$20+'Todos los Datos (2)'!Z42*Hoja1!$K$21+'Todos los Datos (2)'!AE42*Hoja1!$K$22+'Todos los Datos (2)'!AJ42*Hoja1!$K$23+'Todos los Datos (2)'!AO42*Hoja1!$K$24</f>
        <v>577.75132754166998</v>
      </c>
    </row>
    <row r="43" spans="1:6" x14ac:dyDescent="0.3">
      <c r="A43" s="1" t="s">
        <v>32</v>
      </c>
      <c r="B43">
        <f>'Todos los Datos (2)'!B43*Hoja1!$K$17+'Todos los Datos (2)'!G43*Hoja1!$K$18+'Todos los Datos (2)'!L43*Hoja1!$K$19+'Todos los Datos (2)'!Q43*Hoja1!$K$20+'Todos los Datos (2)'!V43*Hoja1!$K$21+'Todos los Datos (2)'!AA43*Hoja1!$K$22+'Todos los Datos (2)'!AF43*Hoja1!$K$23+'Todos los Datos (2)'!AK43*Hoja1!$K$24</f>
        <v>162.6465936178914</v>
      </c>
      <c r="C43">
        <f>'Todos los Datos (2)'!C43*Hoja1!$K$17+'Todos los Datos (2)'!H43*Hoja1!$K$18+'Todos los Datos (2)'!M43*Hoja1!$K$19+'Todos los Datos (2)'!R43*Hoja1!$K$20+'Todos los Datos (2)'!W43*Hoja1!$K$21+'Todos los Datos (2)'!AB43*Hoja1!$K$22+'Todos los Datos (2)'!AG43*Hoja1!$K$23+'Todos los Datos (2)'!AL43*Hoja1!$K$24</f>
        <v>236.15169761161394</v>
      </c>
      <c r="D43">
        <f>'Todos los Datos (2)'!D43*Hoja1!$K$17+'Todos los Datos (2)'!I43*Hoja1!$K$18+'Todos los Datos (2)'!N43*Hoja1!$K$19+'Todos los Datos (2)'!S43*Hoja1!$K$20+'Todos los Datos (2)'!X43*Hoja1!$K$21+'Todos los Datos (2)'!AC43*Hoja1!$K$22+'Todos los Datos (2)'!AH43*Hoja1!$K$23+'Todos los Datos (2)'!AM43*Hoja1!$K$24</f>
        <v>233.24642324154709</v>
      </c>
      <c r="E43">
        <f>'Todos los Datos (2)'!E43*Hoja1!$K$17+'Todos los Datos (2)'!J43*Hoja1!$K$18+'Todos los Datos (2)'!O43*Hoja1!$K$19+'Todos los Datos (2)'!T43*Hoja1!$K$20+'Todos los Datos (2)'!Y43*Hoja1!$K$21+'Todos los Datos (2)'!AD43*Hoja1!$K$22+'Todos los Datos (2)'!AI43*Hoja1!$K$23+'Todos los Datos (2)'!AN43*Hoja1!$K$24</f>
        <v>201.8797324160945</v>
      </c>
      <c r="F43">
        <f>'Todos los Datos (2)'!F43*Hoja1!$K$17+'Todos los Datos (2)'!K43*Hoja1!$K$18+'Todos los Datos (2)'!P43*Hoja1!$K$19+'Todos los Datos (2)'!U43*Hoja1!$K$20+'Todos los Datos (2)'!Z43*Hoja1!$K$21+'Todos los Datos (2)'!AE43*Hoja1!$K$22+'Todos los Datos (2)'!AJ43*Hoja1!$K$23+'Todos los Datos (2)'!AO43*Hoja1!$K$24</f>
        <v>214.50257306588048</v>
      </c>
    </row>
  </sheetData>
  <mergeCells count="1">
    <mergeCell ref="J16:K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D1DC-5D63-4D74-B3CC-69F3C0169D93}">
  <dimension ref="A1:F43"/>
  <sheetViews>
    <sheetView zoomScale="54" workbookViewId="0">
      <selection activeCell="D2" sqref="D2"/>
    </sheetView>
  </sheetViews>
  <sheetFormatPr baseColWidth="10" defaultRowHeight="14.4" x14ac:dyDescent="0.3"/>
  <cols>
    <col min="1" max="1" width="24.88671875" bestFit="1" customWidth="1"/>
    <col min="2" max="2" width="22.6640625" bestFit="1" customWidth="1"/>
  </cols>
  <sheetData>
    <row r="1" spans="1:6" x14ac:dyDescent="0.3">
      <c r="A1" s="10" t="s">
        <v>101</v>
      </c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x14ac:dyDescent="0.3">
      <c r="A2" s="1" t="s">
        <v>5</v>
      </c>
      <c r="B2" s="11">
        <f>'Todos los Datos (2)'!B2*Hoja1!$K$17+'Todos los Datos (2)'!G2*Hoja1!$K$18+'Todos los Datos (2)'!L2*Hoja1!$K$19+'Todos los Datos (2)'!Q2*Hoja1!$K$20+'Todos los Datos (2)'!V2*Hoja1!$K$21+'Todos los Datos (2)'!AA2*Hoja1!$K$22+'Todos los Datos (2)'!AF2*Hoja1!$K$23+'Todos los Datos (2)'!AK2*Hoja1!$K$24</f>
        <v>489.366037019202</v>
      </c>
      <c r="C2">
        <f>'Todos los Datos (2)'!C2*Hoja1!$K$17+'Todos los Datos (2)'!H2*Hoja1!$K$18+'Todos los Datos (2)'!M2*Hoja1!$K$19+'Todos los Datos (2)'!R2*Hoja1!$K$20+'Todos los Datos (2)'!W2*Hoja1!$K$21+'Todos los Datos (2)'!AB2*Hoja1!$K$22+'Todos los Datos (2)'!AG2*Hoja1!$K$23+'Todos los Datos (2)'!AL2*Hoja1!$K$24</f>
        <v>599.9971193790866</v>
      </c>
      <c r="D2">
        <f>'Todos los Datos (2)'!D2*Hoja1!$K$17+'Todos los Datos (2)'!I2*Hoja1!$K$18+'Todos los Datos (2)'!N2*Hoja1!$K$19+'Todos los Datos (2)'!S2*Hoja1!$K$20+'Todos los Datos (2)'!X2*Hoja1!$K$21+'Todos los Datos (2)'!AC2*Hoja1!$K$22+'Todos los Datos (2)'!AH2*Hoja1!$K$23+'Todos los Datos (2)'!AM2*Hoja1!$K$24</f>
        <v>658.36706114535104</v>
      </c>
      <c r="E2">
        <f>'Todos los Datos (2)'!E2*Hoja1!$K$17+'Todos los Datos (2)'!J2*Hoja1!$K$18+'Todos los Datos (2)'!O2*Hoja1!$K$19+'Todos los Datos (2)'!T2*Hoja1!$K$20+'Todos los Datos (2)'!Y2*Hoja1!$K$21+'Todos los Datos (2)'!AD2*Hoja1!$K$22+'Todos los Datos (2)'!AI2*Hoja1!$K$23+'Todos los Datos (2)'!AN2*Hoja1!$K$24</f>
        <v>627.77554524057075</v>
      </c>
      <c r="F2">
        <f>'Todos los Datos (2)'!F2*Hoja1!$K$17+'Todos los Datos (2)'!K2*Hoja1!$K$18+'Todos los Datos (2)'!P2*Hoja1!$K$19+'Todos los Datos (2)'!U2*Hoja1!$K$20+'Todos los Datos (2)'!Z2*Hoja1!$K$21+'Todos los Datos (2)'!AE2*Hoja1!$K$22+'Todos los Datos (2)'!AJ2*Hoja1!$K$23+'Todos los Datos (2)'!AO2*Hoja1!$K$24</f>
        <v>621.9009438841299</v>
      </c>
    </row>
    <row r="3" spans="1:6" x14ac:dyDescent="0.3">
      <c r="A3" s="1" t="s">
        <v>39</v>
      </c>
      <c r="B3">
        <f>'Todos los Datos (2)'!B3*Hoja1!$K$17+'Todos los Datos (2)'!G3*Hoja1!$K$18+'Todos los Datos (2)'!L3*Hoja1!$K$19+'Todos los Datos (2)'!Q3*Hoja1!$K$20+'Todos los Datos (2)'!V3*Hoja1!$K$21+'Todos los Datos (2)'!AA3*Hoja1!$K$22+'Todos los Datos (2)'!AF3*Hoja1!$K$23+'Todos los Datos (2)'!AK3*Hoja1!$K$24</f>
        <v>229.03479981817298</v>
      </c>
      <c r="C3">
        <f>'Todos los Datos (2)'!C3*Hoja1!$K$17+'Todos los Datos (2)'!H3*Hoja1!$K$18+'Todos los Datos (2)'!M3*Hoja1!$K$19+'Todos los Datos (2)'!R3*Hoja1!$K$20+'Todos los Datos (2)'!W3*Hoja1!$K$21+'Todos los Datos (2)'!AB3*Hoja1!$K$22+'Todos los Datos (2)'!AG3*Hoja1!$K$23+'Todos los Datos (2)'!AL3*Hoja1!$K$24</f>
        <v>260.95522307330214</v>
      </c>
      <c r="D3">
        <f>'Todos los Datos (2)'!D3*Hoja1!$K$17+'Todos los Datos (2)'!I3*Hoja1!$K$18+'Todos los Datos (2)'!N3*Hoja1!$K$19+'Todos los Datos (2)'!S3*Hoja1!$K$20+'Todos los Datos (2)'!X3*Hoja1!$K$21+'Todos los Datos (2)'!AC3*Hoja1!$K$22+'Todos los Datos (2)'!AH3*Hoja1!$K$23+'Todos los Datos (2)'!AM3*Hoja1!$K$24</f>
        <v>231.84047368966679</v>
      </c>
      <c r="E3">
        <f>'Todos los Datos (2)'!E3*Hoja1!$K$17+'Todos los Datos (2)'!J3*Hoja1!$K$18+'Todos los Datos (2)'!O3*Hoja1!$K$19+'Todos los Datos (2)'!T3*Hoja1!$K$20+'Todos los Datos (2)'!Y3*Hoja1!$K$21+'Todos los Datos (2)'!AD3*Hoja1!$K$22+'Todos los Datos (2)'!AI3*Hoja1!$K$23+'Todos los Datos (2)'!AN3*Hoja1!$K$24</f>
        <v>187.39011369267519</v>
      </c>
      <c r="F3">
        <f>'Todos los Datos (2)'!F3*Hoja1!$K$17+'Todos los Datos (2)'!K3*Hoja1!$K$18+'Todos los Datos (2)'!P3*Hoja1!$K$19+'Todos los Datos (2)'!U3*Hoja1!$K$20+'Todos los Datos (2)'!Z3*Hoja1!$K$21+'Todos los Datos (2)'!AE3*Hoja1!$K$22+'Todos los Datos (2)'!AJ3*Hoja1!$K$23+'Todos los Datos (2)'!AO3*Hoja1!$K$24</f>
        <v>293.24003292779446</v>
      </c>
    </row>
    <row r="4" spans="1:6" x14ac:dyDescent="0.3">
      <c r="A4" s="1" t="s">
        <v>40</v>
      </c>
      <c r="B4">
        <f>'Todos los Datos (2)'!B4*Hoja1!$K$17+'Todos los Datos (2)'!G4*Hoja1!$K$18+'Todos los Datos (2)'!L4*Hoja1!$K$19+'Todos los Datos (2)'!Q4*Hoja1!$K$20+'Todos los Datos (2)'!V4*Hoja1!$K$21+'Todos los Datos (2)'!AA4*Hoja1!$K$22+'Todos los Datos (2)'!AF4*Hoja1!$K$23+'Todos los Datos (2)'!AK4*Hoja1!$K$24</f>
        <v>132.8841652027308</v>
      </c>
      <c r="C4">
        <f>'Todos los Datos (2)'!C4*Hoja1!$K$17+'Todos los Datos (2)'!H4*Hoja1!$K$18+'Todos los Datos (2)'!M4*Hoja1!$K$19+'Todos los Datos (2)'!R4*Hoja1!$K$20+'Todos los Datos (2)'!W4*Hoja1!$K$21+'Todos los Datos (2)'!AB4*Hoja1!$K$22+'Todos los Datos (2)'!AG4*Hoja1!$K$23+'Todos los Datos (2)'!AL4*Hoja1!$K$24</f>
        <v>196.3792939315428</v>
      </c>
      <c r="D4">
        <f>'Todos los Datos (2)'!D4*Hoja1!$K$17+'Todos los Datos (2)'!I4*Hoja1!$K$18+'Todos los Datos (2)'!N4*Hoja1!$K$19+'Todos los Datos (2)'!S4*Hoja1!$K$20+'Todos los Datos (2)'!X4*Hoja1!$K$21+'Todos los Datos (2)'!AC4*Hoja1!$K$22+'Todos los Datos (2)'!AH4*Hoja1!$K$23+'Todos los Datos (2)'!AM4*Hoja1!$K$24</f>
        <v>183.43467002793011</v>
      </c>
      <c r="E4">
        <f>'Todos los Datos (2)'!E4*Hoja1!$K$17+'Todos los Datos (2)'!J4*Hoja1!$K$18+'Todos los Datos (2)'!O4*Hoja1!$K$19+'Todos los Datos (2)'!T4*Hoja1!$K$20+'Todos los Datos (2)'!Y4*Hoja1!$K$21+'Todos los Datos (2)'!AD4*Hoja1!$K$22+'Todos los Datos (2)'!AI4*Hoja1!$K$23+'Todos los Datos (2)'!AN4*Hoja1!$K$24</f>
        <v>241.20209003401277</v>
      </c>
      <c r="F4">
        <f>'Todos los Datos (2)'!F4*Hoja1!$K$17+'Todos los Datos (2)'!K4*Hoja1!$K$18+'Todos los Datos (2)'!P4*Hoja1!$K$19+'Todos los Datos (2)'!U4*Hoja1!$K$20+'Todos los Datos (2)'!Z4*Hoja1!$K$21+'Todos los Datos (2)'!AE4*Hoja1!$K$22+'Todos los Datos (2)'!AJ4*Hoja1!$K$23+'Todos los Datos (2)'!AO4*Hoja1!$K$24</f>
        <v>185.35654317540389</v>
      </c>
    </row>
    <row r="5" spans="1:6" x14ac:dyDescent="0.3">
      <c r="A5" s="1" t="s">
        <v>33</v>
      </c>
      <c r="B5">
        <f>'Todos los Datos (2)'!B5*Hoja1!$K$17+'Todos los Datos (2)'!G5*Hoja1!$K$18+'Todos los Datos (2)'!L5*Hoja1!$K$19+'Todos los Datos (2)'!Q5*Hoja1!$K$20+'Todos los Datos (2)'!V5*Hoja1!$K$21+'Todos los Datos (2)'!AA5*Hoja1!$K$22+'Todos los Datos (2)'!AF5*Hoja1!$K$23+'Todos los Datos (2)'!AK5*Hoja1!$K$24</f>
        <v>68.447361065615041</v>
      </c>
      <c r="C5">
        <f>'Todos los Datos (2)'!C5*Hoja1!$K$17+'Todos los Datos (2)'!H5*Hoja1!$K$18+'Todos los Datos (2)'!M5*Hoja1!$K$19+'Todos los Datos (2)'!R5*Hoja1!$K$20+'Todos los Datos (2)'!W5*Hoja1!$K$21+'Todos los Datos (2)'!AB5*Hoja1!$K$22+'Todos los Datos (2)'!AG5*Hoja1!$K$23+'Todos los Datos (2)'!AL5*Hoja1!$K$24</f>
        <v>101.04396232257588</v>
      </c>
      <c r="D5">
        <f>'Todos los Datos (2)'!D5*Hoja1!$K$17+'Todos los Datos (2)'!I5*Hoja1!$K$18+'Todos los Datos (2)'!N5*Hoja1!$K$19+'Todos los Datos (2)'!S5*Hoja1!$K$20+'Todos los Datos (2)'!X5*Hoja1!$K$21+'Todos los Datos (2)'!AC5*Hoja1!$K$22+'Todos los Datos (2)'!AH5*Hoja1!$K$23+'Todos los Datos (2)'!AM5*Hoja1!$K$24</f>
        <v>134.97895205722611</v>
      </c>
      <c r="E5">
        <f>'Todos los Datos (2)'!E5*Hoja1!$K$17+'Todos los Datos (2)'!J5*Hoja1!$K$18+'Todos los Datos (2)'!O5*Hoja1!$K$19+'Todos los Datos (2)'!T5*Hoja1!$K$20+'Todos los Datos (2)'!Y5*Hoja1!$K$21+'Todos los Datos (2)'!AD5*Hoja1!$K$22+'Todos los Datos (2)'!AI5*Hoja1!$K$23+'Todos los Datos (2)'!AN5*Hoja1!$K$24</f>
        <v>129.73198594611603</v>
      </c>
      <c r="F5">
        <f>'Todos los Datos (2)'!F5*Hoja1!$K$17+'Todos los Datos (2)'!K5*Hoja1!$K$18+'Todos los Datos (2)'!P5*Hoja1!$K$19+'Todos los Datos (2)'!U5*Hoja1!$K$20+'Todos los Datos (2)'!Z5*Hoja1!$K$21+'Todos los Datos (2)'!AE5*Hoja1!$K$22+'Todos los Datos (2)'!AJ5*Hoja1!$K$23+'Todos los Datos (2)'!AO5*Hoja1!$K$24</f>
        <v>104.2573413488456</v>
      </c>
    </row>
    <row r="6" spans="1:6" x14ac:dyDescent="0.3">
      <c r="A6" s="1" t="s">
        <v>6</v>
      </c>
      <c r="B6">
        <f>'Todos los Datos (2)'!B6*Hoja1!$K$17+'Todos los Datos (2)'!G6*Hoja1!$K$18+'Todos los Datos (2)'!L6*Hoja1!$K$19+'Todos los Datos (2)'!Q6*Hoja1!$K$20+'Todos los Datos (2)'!V6*Hoja1!$K$21+'Todos los Datos (2)'!AA6*Hoja1!$K$22+'Todos los Datos (2)'!AF6*Hoja1!$K$23+'Todos los Datos (2)'!AK6*Hoja1!$K$24</f>
        <v>123.60570967360098</v>
      </c>
      <c r="C6">
        <f>'Todos los Datos (2)'!C6*Hoja1!$K$17+'Todos los Datos (2)'!H6*Hoja1!$K$18+'Todos los Datos (2)'!M6*Hoja1!$K$19+'Todos los Datos (2)'!R6*Hoja1!$K$20+'Todos los Datos (2)'!W6*Hoja1!$K$21+'Todos los Datos (2)'!AB6*Hoja1!$K$22+'Todos los Datos (2)'!AG6*Hoja1!$K$23+'Todos los Datos (2)'!AL6*Hoja1!$K$24</f>
        <v>194.56313689377745</v>
      </c>
      <c r="D6">
        <f>'Todos los Datos (2)'!D6*Hoja1!$K$17+'Todos los Datos (2)'!I6*Hoja1!$K$18+'Todos los Datos (2)'!N6*Hoja1!$K$19+'Todos los Datos (2)'!S6*Hoja1!$K$20+'Todos los Datos (2)'!X6*Hoja1!$K$21+'Todos los Datos (2)'!AC6*Hoja1!$K$22+'Todos los Datos (2)'!AH6*Hoja1!$K$23+'Todos los Datos (2)'!AM6*Hoja1!$K$24</f>
        <v>68.3637647180568</v>
      </c>
      <c r="E6">
        <f>'Todos los Datos (2)'!E6*Hoja1!$K$17+'Todos los Datos (2)'!J6*Hoja1!$K$18+'Todos los Datos (2)'!O6*Hoja1!$K$19+'Todos los Datos (2)'!T6*Hoja1!$K$20+'Todos los Datos (2)'!Y6*Hoja1!$K$21+'Todos los Datos (2)'!AD6*Hoja1!$K$22+'Todos los Datos (2)'!AI6*Hoja1!$K$23+'Todos los Datos (2)'!AN6*Hoja1!$K$24</f>
        <v>61.536606210833298</v>
      </c>
      <c r="F6">
        <f>'Todos los Datos (2)'!F6*Hoja1!$K$17+'Todos los Datos (2)'!K6*Hoja1!$K$18+'Todos los Datos (2)'!P6*Hoja1!$K$19+'Todos los Datos (2)'!U6*Hoja1!$K$20+'Todos los Datos (2)'!Z6*Hoja1!$K$21+'Todos los Datos (2)'!AE6*Hoja1!$K$22+'Todos los Datos (2)'!AJ6*Hoja1!$K$23+'Todos los Datos (2)'!AO6*Hoja1!$K$24</f>
        <v>69.452140972632364</v>
      </c>
    </row>
    <row r="7" spans="1:6" x14ac:dyDescent="0.3">
      <c r="A7" s="1" t="s">
        <v>41</v>
      </c>
      <c r="B7">
        <f>'Todos los Datos (2)'!B7*Hoja1!$K$17+'Todos los Datos (2)'!G7*Hoja1!$K$18+'Todos los Datos (2)'!L7*Hoja1!$K$19+'Todos los Datos (2)'!Q7*Hoja1!$K$20+'Todos los Datos (2)'!V7*Hoja1!$K$21+'Todos los Datos (2)'!AA7*Hoja1!$K$22+'Todos los Datos (2)'!AF7*Hoja1!$K$23+'Todos los Datos (2)'!AK7*Hoja1!$K$24</f>
        <v>78.162230802237971</v>
      </c>
      <c r="C7">
        <f>'Todos los Datos (2)'!C7*Hoja1!$K$17+'Todos los Datos (2)'!H7*Hoja1!$K$18+'Todos los Datos (2)'!M7*Hoja1!$K$19+'Todos los Datos (2)'!R7*Hoja1!$K$20+'Todos los Datos (2)'!W7*Hoja1!$K$21+'Todos los Datos (2)'!AB7*Hoja1!$K$22+'Todos los Datos (2)'!AG7*Hoja1!$K$23+'Todos los Datos (2)'!AL7*Hoja1!$K$24</f>
        <v>94.807833641398162</v>
      </c>
      <c r="D7">
        <f>'Todos los Datos (2)'!D7*Hoja1!$K$17+'Todos los Datos (2)'!I7*Hoja1!$K$18+'Todos los Datos (2)'!N7*Hoja1!$K$19+'Todos los Datos (2)'!S7*Hoja1!$K$20+'Todos los Datos (2)'!X7*Hoja1!$K$21+'Todos los Datos (2)'!AC7*Hoja1!$K$22+'Todos los Datos (2)'!AH7*Hoja1!$K$23+'Todos los Datos (2)'!AM7*Hoja1!$K$24</f>
        <v>158.1501948587989</v>
      </c>
      <c r="E7">
        <f>'Todos los Datos (2)'!E7*Hoja1!$K$17+'Todos los Datos (2)'!J7*Hoja1!$K$18+'Todos los Datos (2)'!O7*Hoja1!$K$19+'Todos los Datos (2)'!T7*Hoja1!$K$20+'Todos los Datos (2)'!Y7*Hoja1!$K$21+'Todos los Datos (2)'!AD7*Hoja1!$K$22+'Todos los Datos (2)'!AI7*Hoja1!$K$23+'Todos los Datos (2)'!AN7*Hoja1!$K$24</f>
        <v>180.05673315048932</v>
      </c>
      <c r="F7">
        <f>'Todos los Datos (2)'!F7*Hoja1!$K$17+'Todos los Datos (2)'!K7*Hoja1!$K$18+'Todos los Datos (2)'!P7*Hoja1!$K$19+'Todos los Datos (2)'!U7*Hoja1!$K$20+'Todos los Datos (2)'!Z7*Hoja1!$K$21+'Todos los Datos (2)'!AE7*Hoja1!$K$22+'Todos los Datos (2)'!AJ7*Hoja1!$K$23+'Todos los Datos (2)'!AO7*Hoja1!$K$24</f>
        <v>135.63503243219526</v>
      </c>
    </row>
    <row r="8" spans="1:6" x14ac:dyDescent="0.3">
      <c r="A8" s="1" t="s">
        <v>34</v>
      </c>
      <c r="B8">
        <f>'Todos los Datos (2)'!B8*Hoja1!$K$17+'Todos los Datos (2)'!G8*Hoja1!$K$18+'Todos los Datos (2)'!L8*Hoja1!$K$19+'Todos los Datos (2)'!Q8*Hoja1!$K$20+'Todos los Datos (2)'!V8*Hoja1!$K$21+'Todos los Datos (2)'!AA8*Hoja1!$K$22+'Todos los Datos (2)'!AF8*Hoja1!$K$23+'Todos los Datos (2)'!AK8*Hoja1!$K$24</f>
        <v>171.95079727766449</v>
      </c>
      <c r="C8">
        <f>'Todos los Datos (2)'!C8*Hoja1!$K$17+'Todos los Datos (2)'!H8*Hoja1!$K$18+'Todos los Datos (2)'!M8*Hoja1!$K$19+'Todos los Datos (2)'!R8*Hoja1!$K$20+'Todos los Datos (2)'!W8*Hoja1!$K$21+'Todos los Datos (2)'!AB8*Hoja1!$K$22+'Todos los Datos (2)'!AG8*Hoja1!$K$23+'Todos los Datos (2)'!AL8*Hoja1!$K$24</f>
        <v>195.63441740435553</v>
      </c>
      <c r="D8">
        <f>'Todos los Datos (2)'!D8*Hoja1!$K$17+'Todos los Datos (2)'!I8*Hoja1!$K$18+'Todos los Datos (2)'!N8*Hoja1!$K$19+'Todos los Datos (2)'!S8*Hoja1!$K$20+'Todos los Datos (2)'!X8*Hoja1!$K$21+'Todos los Datos (2)'!AC8*Hoja1!$K$22+'Todos los Datos (2)'!AH8*Hoja1!$K$23+'Todos los Datos (2)'!AM8*Hoja1!$K$24</f>
        <v>176.54359905541239</v>
      </c>
      <c r="E8">
        <f>'Todos los Datos (2)'!E8*Hoja1!$K$17+'Todos los Datos (2)'!J8*Hoja1!$K$18+'Todos los Datos (2)'!O8*Hoja1!$K$19+'Todos los Datos (2)'!T8*Hoja1!$K$20+'Todos los Datos (2)'!Y8*Hoja1!$K$21+'Todos los Datos (2)'!AD8*Hoja1!$K$22+'Todos los Datos (2)'!AI8*Hoja1!$K$23+'Todos los Datos (2)'!AN8*Hoja1!$K$24</f>
        <v>184.37683184898941</v>
      </c>
      <c r="F8">
        <f>'Todos los Datos (2)'!F8*Hoja1!$K$17+'Todos los Datos (2)'!K8*Hoja1!$K$18+'Todos los Datos (2)'!P8*Hoja1!$K$19+'Todos los Datos (2)'!U8*Hoja1!$K$20+'Todos los Datos (2)'!Z8*Hoja1!$K$21+'Todos los Datos (2)'!AE8*Hoja1!$K$22+'Todos los Datos (2)'!AJ8*Hoja1!$K$23+'Todos los Datos (2)'!AO8*Hoja1!$K$24</f>
        <v>157.63120407946221</v>
      </c>
    </row>
    <row r="9" spans="1:6" x14ac:dyDescent="0.3">
      <c r="A9" s="1" t="s">
        <v>35</v>
      </c>
      <c r="B9">
        <f>'Todos los Datos (2)'!B9*Hoja1!$K$17+'Todos los Datos (2)'!G9*Hoja1!$K$18+'Todos los Datos (2)'!L9*Hoja1!$K$19+'Todos los Datos (2)'!Q9*Hoja1!$K$20+'Todos los Datos (2)'!V9*Hoja1!$K$21+'Todos los Datos (2)'!AA9*Hoja1!$K$22+'Todos los Datos (2)'!AF9*Hoja1!$K$23+'Todos los Datos (2)'!AK9*Hoja1!$K$24</f>
        <v>242.79617839341779</v>
      </c>
      <c r="C9">
        <f>'Todos los Datos (2)'!C9*Hoja1!$K$17+'Todos los Datos (2)'!H9*Hoja1!$K$18+'Todos los Datos (2)'!M9*Hoja1!$K$19+'Todos los Datos (2)'!R9*Hoja1!$K$20+'Todos los Datos (2)'!W9*Hoja1!$K$21+'Todos los Datos (2)'!AB9*Hoja1!$K$22+'Todos los Datos (2)'!AG9*Hoja1!$K$23+'Todos los Datos (2)'!AL9*Hoja1!$K$24</f>
        <v>300.26413663836126</v>
      </c>
      <c r="D9">
        <f>'Todos los Datos (2)'!D9*Hoja1!$K$17+'Todos los Datos (2)'!I9*Hoja1!$K$18+'Todos los Datos (2)'!N9*Hoja1!$K$19+'Todos los Datos (2)'!S9*Hoja1!$K$20+'Todos los Datos (2)'!X9*Hoja1!$K$21+'Todos los Datos (2)'!AC9*Hoja1!$K$22+'Todos los Datos (2)'!AH9*Hoja1!$K$23+'Todos los Datos (2)'!AM9*Hoja1!$K$24</f>
        <v>361.88580215129372</v>
      </c>
      <c r="E9">
        <f>'Todos los Datos (2)'!E9*Hoja1!$K$17+'Todos los Datos (2)'!J9*Hoja1!$K$18+'Todos los Datos (2)'!O9*Hoja1!$K$19+'Todos los Datos (2)'!T9*Hoja1!$K$20+'Todos los Datos (2)'!Y9*Hoja1!$K$21+'Todos los Datos (2)'!AD9*Hoja1!$K$22+'Todos los Datos (2)'!AI9*Hoja1!$K$23+'Todos los Datos (2)'!AN9*Hoja1!$K$24</f>
        <v>372.4616776274367</v>
      </c>
      <c r="F9">
        <f>'Todos los Datos (2)'!F9*Hoja1!$K$17+'Todos los Datos (2)'!K9*Hoja1!$K$18+'Todos los Datos (2)'!P9*Hoja1!$K$19+'Todos los Datos (2)'!U9*Hoja1!$K$20+'Todos los Datos (2)'!Z9*Hoja1!$K$21+'Todos los Datos (2)'!AE9*Hoja1!$K$22+'Todos los Datos (2)'!AJ9*Hoja1!$K$23+'Todos los Datos (2)'!AO9*Hoja1!$K$24</f>
        <v>362.68046413426953</v>
      </c>
    </row>
    <row r="10" spans="1:6" x14ac:dyDescent="0.3">
      <c r="A10" s="1" t="s">
        <v>36</v>
      </c>
      <c r="B10">
        <f>'Todos los Datos (2)'!B10*Hoja1!$K$17+'Todos los Datos (2)'!G10*Hoja1!$K$18+'Todos los Datos (2)'!L10*Hoja1!$K$19+'Todos los Datos (2)'!Q10*Hoja1!$K$20+'Todos los Datos (2)'!V10*Hoja1!$K$21+'Todos los Datos (2)'!AA10*Hoja1!$K$22+'Todos los Datos (2)'!AF10*Hoja1!$K$23+'Todos los Datos (2)'!AK10*Hoja1!$K$24</f>
        <v>119.71600125248605</v>
      </c>
      <c r="C10">
        <f>'Todos los Datos (2)'!C10*Hoja1!$K$17+'Todos los Datos (2)'!H10*Hoja1!$K$18+'Todos los Datos (2)'!M10*Hoja1!$K$19+'Todos los Datos (2)'!R10*Hoja1!$K$20+'Todos los Datos (2)'!W10*Hoja1!$K$21+'Todos los Datos (2)'!AB10*Hoja1!$K$22+'Todos los Datos (2)'!AG10*Hoja1!$K$23+'Todos los Datos (2)'!AL10*Hoja1!$K$24</f>
        <v>199.08430976779448</v>
      </c>
      <c r="D10">
        <f>'Todos los Datos (2)'!D10*Hoja1!$K$17+'Todos los Datos (2)'!I10*Hoja1!$K$18+'Todos los Datos (2)'!N10*Hoja1!$K$19+'Todos los Datos (2)'!S10*Hoja1!$K$20+'Todos los Datos (2)'!X10*Hoja1!$K$21+'Todos los Datos (2)'!AC10*Hoja1!$K$22+'Todos los Datos (2)'!AH10*Hoja1!$K$23+'Todos los Datos (2)'!AM10*Hoja1!$K$24</f>
        <v>212.36509719254843</v>
      </c>
      <c r="E10">
        <f>'Todos los Datos (2)'!E10*Hoja1!$K$17+'Todos los Datos (2)'!J10*Hoja1!$K$18+'Todos los Datos (2)'!O10*Hoja1!$K$19+'Todos los Datos (2)'!T10*Hoja1!$K$20+'Todos los Datos (2)'!Y10*Hoja1!$K$21+'Todos los Datos (2)'!AD10*Hoja1!$K$22+'Todos los Datos (2)'!AI10*Hoja1!$K$23+'Todos los Datos (2)'!AN10*Hoja1!$K$24</f>
        <v>199.44166856096382</v>
      </c>
      <c r="F10">
        <f>'Todos los Datos (2)'!F10*Hoja1!$K$17+'Todos los Datos (2)'!K10*Hoja1!$K$18+'Todos los Datos (2)'!P10*Hoja1!$K$19+'Todos los Datos (2)'!U10*Hoja1!$K$20+'Todos los Datos (2)'!Z10*Hoja1!$K$21+'Todos los Datos (2)'!AE10*Hoja1!$K$22+'Todos los Datos (2)'!AJ10*Hoja1!$K$23+'Todos los Datos (2)'!AO10*Hoja1!$K$24</f>
        <v>221.85775580242341</v>
      </c>
    </row>
    <row r="11" spans="1:6" x14ac:dyDescent="0.3">
      <c r="A11" s="1" t="s">
        <v>7</v>
      </c>
      <c r="B11">
        <f>'Todos los Datos (2)'!B11*Hoja1!$K$17+'Todos los Datos (2)'!G11*Hoja1!$K$18+'Todos los Datos (2)'!L11*Hoja1!$K$19+'Todos los Datos (2)'!Q11*Hoja1!$K$20+'Todos los Datos (2)'!V11*Hoja1!$K$21+'Todos los Datos (2)'!AA11*Hoja1!$K$22+'Todos los Datos (2)'!AF11*Hoja1!$K$23+'Todos los Datos (2)'!AK11*Hoja1!$K$24</f>
        <v>176.03415173272174</v>
      </c>
      <c r="C11">
        <f>'Todos los Datos (2)'!C11*Hoja1!$K$17+'Todos los Datos (2)'!H11*Hoja1!$K$18+'Todos los Datos (2)'!M11*Hoja1!$K$19+'Todos los Datos (2)'!R11*Hoja1!$K$20+'Todos los Datos (2)'!W11*Hoja1!$K$21+'Todos los Datos (2)'!AB11*Hoja1!$K$22+'Todos los Datos (2)'!AG11*Hoja1!$K$23+'Todos los Datos (2)'!AL11*Hoja1!$K$24</f>
        <v>175.7466452960316</v>
      </c>
      <c r="D11">
        <f>'Todos los Datos (2)'!D11*Hoja1!$K$17+'Todos los Datos (2)'!I11*Hoja1!$K$18+'Todos los Datos (2)'!N11*Hoja1!$K$19+'Todos los Datos (2)'!S11*Hoja1!$K$20+'Todos los Datos (2)'!X11*Hoja1!$K$21+'Todos los Datos (2)'!AC11*Hoja1!$K$22+'Todos los Datos (2)'!AH11*Hoja1!$K$23+'Todos los Datos (2)'!AM11*Hoja1!$K$24</f>
        <v>215.52725979091309</v>
      </c>
      <c r="E11">
        <f>'Todos los Datos (2)'!E11*Hoja1!$K$17+'Todos los Datos (2)'!J11*Hoja1!$K$18+'Todos los Datos (2)'!O11*Hoja1!$K$19+'Todos los Datos (2)'!T11*Hoja1!$K$20+'Todos los Datos (2)'!Y11*Hoja1!$K$21+'Todos los Datos (2)'!AD11*Hoja1!$K$22+'Todos los Datos (2)'!AI11*Hoja1!$K$23+'Todos los Datos (2)'!AN11*Hoja1!$K$24</f>
        <v>200.27979462891523</v>
      </c>
      <c r="F11">
        <f>'Todos los Datos (2)'!F11*Hoja1!$K$17+'Todos los Datos (2)'!K11*Hoja1!$K$18+'Todos los Datos (2)'!P11*Hoja1!$K$19+'Todos los Datos (2)'!U11*Hoja1!$K$20+'Todos los Datos (2)'!Z11*Hoja1!$K$21+'Todos los Datos (2)'!AE11*Hoja1!$K$22+'Todos los Datos (2)'!AJ11*Hoja1!$K$23+'Todos los Datos (2)'!AO11*Hoja1!$K$24</f>
        <v>185.83455285400947</v>
      </c>
    </row>
    <row r="12" spans="1:6" x14ac:dyDescent="0.3">
      <c r="A12" s="1" t="s">
        <v>102</v>
      </c>
      <c r="B12">
        <f>'Todos los Datos (2)'!B12*Hoja1!$K$17+'Todos los Datos (2)'!G12*Hoja1!$K$18+'Todos los Datos (2)'!L12*Hoja1!$K$19+'Todos los Datos (2)'!Q12*Hoja1!$K$20+'Todos los Datos (2)'!V12*Hoja1!$K$21+'Todos los Datos (2)'!AA12*Hoja1!$K$22+'Todos los Datos (2)'!AF12*Hoja1!$K$23+'Todos los Datos (2)'!AK12*Hoja1!$K$24</f>
        <v>170.61349374281775</v>
      </c>
      <c r="C12">
        <f>'Todos los Datos (2)'!C12*Hoja1!$K$17+'Todos los Datos (2)'!H12*Hoja1!$K$18+'Todos los Datos (2)'!M12*Hoja1!$K$19+'Todos los Datos (2)'!R12*Hoja1!$K$20+'Todos los Datos (2)'!W12*Hoja1!$K$21+'Todos los Datos (2)'!AB12*Hoja1!$K$22+'Todos los Datos (2)'!AG12*Hoja1!$K$23+'Todos los Datos (2)'!AL12*Hoja1!$K$24</f>
        <v>266.64971884138856</v>
      </c>
      <c r="D12">
        <f>'Todos los Datos (2)'!D12*Hoja1!$K$17+'Todos los Datos (2)'!I12*Hoja1!$K$18+'Todos los Datos (2)'!N12*Hoja1!$K$19+'Todos los Datos (2)'!S12*Hoja1!$K$20+'Todos los Datos (2)'!X12*Hoja1!$K$21+'Todos los Datos (2)'!AC12*Hoja1!$K$22+'Todos los Datos (2)'!AH12*Hoja1!$K$23+'Todos los Datos (2)'!AM12*Hoja1!$K$24</f>
        <v>315.57819015484063</v>
      </c>
      <c r="E12">
        <f>'Todos los Datos (2)'!E12*Hoja1!$K$17+'Todos los Datos (2)'!J12*Hoja1!$K$18+'Todos los Datos (2)'!O12*Hoja1!$K$19+'Todos los Datos (2)'!T12*Hoja1!$K$20+'Todos los Datos (2)'!Y12*Hoja1!$K$21+'Todos los Datos (2)'!AD12*Hoja1!$K$22+'Todos los Datos (2)'!AI12*Hoja1!$K$23+'Todos los Datos (2)'!AN12*Hoja1!$K$24</f>
        <v>302.46081656813823</v>
      </c>
      <c r="F12">
        <f>'Todos los Datos (2)'!F12*Hoja1!$K$17+'Todos los Datos (2)'!K12*Hoja1!$K$18+'Todos los Datos (2)'!P12*Hoja1!$K$19+'Todos los Datos (2)'!U12*Hoja1!$K$20+'Todos los Datos (2)'!Z12*Hoja1!$K$21+'Todos los Datos (2)'!AE12*Hoja1!$K$22+'Todos los Datos (2)'!AJ12*Hoja1!$K$23+'Todos los Datos (2)'!AO12*Hoja1!$K$24</f>
        <v>274.70612550281589</v>
      </c>
    </row>
    <row r="13" spans="1:6" x14ac:dyDescent="0.3">
      <c r="A13" s="1" t="s">
        <v>9</v>
      </c>
      <c r="B13">
        <f>'Todos los Datos (2)'!B13*Hoja1!$K$17+'Todos los Datos (2)'!G13*Hoja1!$K$18+'Todos los Datos (2)'!L13*Hoja1!$K$19+'Todos los Datos (2)'!Q13*Hoja1!$K$20+'Todos los Datos (2)'!V13*Hoja1!$K$21+'Todos los Datos (2)'!AA13*Hoja1!$K$22+'Todos los Datos (2)'!AF13*Hoja1!$K$23+'Todos los Datos (2)'!AK13*Hoja1!$K$24</f>
        <v>314.23195215284989</v>
      </c>
      <c r="C13">
        <f>'Todos los Datos (2)'!C13*Hoja1!$K$17+'Todos los Datos (2)'!H13*Hoja1!$K$18+'Todos los Datos (2)'!M13*Hoja1!$K$19+'Todos los Datos (2)'!R13*Hoja1!$K$20+'Todos los Datos (2)'!W13*Hoja1!$K$21+'Todos los Datos (2)'!AB13*Hoja1!$K$22+'Todos los Datos (2)'!AG13*Hoja1!$K$23+'Todos los Datos (2)'!AL13*Hoja1!$K$24</f>
        <v>392.3482294176971</v>
      </c>
      <c r="D13">
        <f>'Todos los Datos (2)'!D13*Hoja1!$K$17+'Todos los Datos (2)'!I13*Hoja1!$K$18+'Todos los Datos (2)'!N13*Hoja1!$K$19+'Todos los Datos (2)'!S13*Hoja1!$K$20+'Todos los Datos (2)'!X13*Hoja1!$K$21+'Todos los Datos (2)'!AC13*Hoja1!$K$22+'Todos los Datos (2)'!AH13*Hoja1!$K$23+'Todos los Datos (2)'!AM13*Hoja1!$K$24</f>
        <v>434.71182764492733</v>
      </c>
      <c r="E13">
        <f>'Todos los Datos (2)'!E13*Hoja1!$K$17+'Todos los Datos (2)'!J13*Hoja1!$K$18+'Todos los Datos (2)'!O13*Hoja1!$K$19+'Todos los Datos (2)'!T13*Hoja1!$K$20+'Todos los Datos (2)'!Y13*Hoja1!$K$21+'Todos los Datos (2)'!AD13*Hoja1!$K$22+'Todos los Datos (2)'!AI13*Hoja1!$K$23+'Todos los Datos (2)'!AN13*Hoja1!$K$24</f>
        <v>421.29054162159235</v>
      </c>
      <c r="F13">
        <f>'Todos los Datos (2)'!F13*Hoja1!$K$17+'Todos los Datos (2)'!K13*Hoja1!$K$18+'Todos los Datos (2)'!P13*Hoja1!$K$19+'Todos los Datos (2)'!U13*Hoja1!$K$20+'Todos los Datos (2)'!Z13*Hoja1!$K$21+'Todos los Datos (2)'!AE13*Hoja1!$K$22+'Todos los Datos (2)'!AJ13*Hoja1!$K$23+'Todos los Datos (2)'!AO13*Hoja1!$K$24</f>
        <v>464.33515236040625</v>
      </c>
    </row>
    <row r="14" spans="1:6" x14ac:dyDescent="0.3">
      <c r="A14" s="1" t="s">
        <v>10</v>
      </c>
      <c r="B14">
        <f>'Todos los Datos (2)'!B14*Hoja1!$K$17+'Todos los Datos (2)'!G14*Hoja1!$K$18+'Todos los Datos (2)'!L14*Hoja1!$K$19+'Todos los Datos (2)'!Q14*Hoja1!$K$20+'Todos los Datos (2)'!V14*Hoja1!$K$21+'Todos los Datos (2)'!AA14*Hoja1!$K$22+'Todos los Datos (2)'!AF14*Hoja1!$K$23+'Todos los Datos (2)'!AK14*Hoja1!$K$24</f>
        <v>198.26550811340488</v>
      </c>
      <c r="C14">
        <f>'Todos los Datos (2)'!C14*Hoja1!$K$17+'Todos los Datos (2)'!H14*Hoja1!$K$18+'Todos los Datos (2)'!M14*Hoja1!$K$19+'Todos los Datos (2)'!R14*Hoja1!$K$20+'Todos los Datos (2)'!W14*Hoja1!$K$21+'Todos los Datos (2)'!AB14*Hoja1!$K$22+'Todos los Datos (2)'!AG14*Hoja1!$K$23+'Todos los Datos (2)'!AL14*Hoja1!$K$24</f>
        <v>230.66625938013681</v>
      </c>
      <c r="D14">
        <f>'Todos los Datos (2)'!D14*Hoja1!$K$17+'Todos los Datos (2)'!I14*Hoja1!$K$18+'Todos los Datos (2)'!N14*Hoja1!$K$19+'Todos los Datos (2)'!S14*Hoja1!$K$20+'Todos los Datos (2)'!X14*Hoja1!$K$21+'Todos los Datos (2)'!AC14*Hoja1!$K$22+'Todos los Datos (2)'!AH14*Hoja1!$K$23+'Todos los Datos (2)'!AM14*Hoja1!$K$24</f>
        <v>227.71930594983829</v>
      </c>
      <c r="E14">
        <f>'Todos los Datos (2)'!E14*Hoja1!$K$17+'Todos los Datos (2)'!J14*Hoja1!$K$18+'Todos los Datos (2)'!O14*Hoja1!$K$19+'Todos los Datos (2)'!T14*Hoja1!$K$20+'Todos los Datos (2)'!Y14*Hoja1!$K$21+'Todos los Datos (2)'!AD14*Hoja1!$K$22+'Todos los Datos (2)'!AI14*Hoja1!$K$23+'Todos los Datos (2)'!AN14*Hoja1!$K$24</f>
        <v>252.50014120192085</v>
      </c>
      <c r="F14">
        <f>'Todos los Datos (2)'!F14*Hoja1!$K$17+'Todos los Datos (2)'!K14*Hoja1!$K$18+'Todos los Datos (2)'!P14*Hoja1!$K$19+'Todos los Datos (2)'!U14*Hoja1!$K$20+'Todos los Datos (2)'!Z14*Hoja1!$K$21+'Todos los Datos (2)'!AE14*Hoja1!$K$22+'Todos los Datos (2)'!AJ14*Hoja1!$K$23+'Todos los Datos (2)'!AO14*Hoja1!$K$24</f>
        <v>250.30237288757877</v>
      </c>
    </row>
    <row r="15" spans="1:6" x14ac:dyDescent="0.3">
      <c r="A15" s="1" t="s">
        <v>11</v>
      </c>
      <c r="B15">
        <f>'Todos los Datos (2)'!B15*Hoja1!$K$17+'Todos los Datos (2)'!G15*Hoja1!$K$18+'Todos los Datos (2)'!L15*Hoja1!$K$19+'Todos los Datos (2)'!Q15*Hoja1!$K$20+'Todos los Datos (2)'!V15*Hoja1!$K$21+'Todos los Datos (2)'!AA15*Hoja1!$K$22+'Todos los Datos (2)'!AF15*Hoja1!$K$23+'Todos los Datos (2)'!AK15*Hoja1!$K$24</f>
        <v>145.77624556420346</v>
      </c>
      <c r="C15">
        <f>'Todos los Datos (2)'!C15*Hoja1!$K$17+'Todos los Datos (2)'!H15*Hoja1!$K$18+'Todos los Datos (2)'!M15*Hoja1!$K$19+'Todos los Datos (2)'!R15*Hoja1!$K$20+'Todos los Datos (2)'!W15*Hoja1!$K$21+'Todos los Datos (2)'!AB15*Hoja1!$K$22+'Todos los Datos (2)'!AG15*Hoja1!$K$23+'Todos los Datos (2)'!AL15*Hoja1!$K$24</f>
        <v>183.07148040890073</v>
      </c>
      <c r="D15">
        <f>'Todos los Datos (2)'!D15*Hoja1!$K$17+'Todos los Datos (2)'!I15*Hoja1!$K$18+'Todos los Datos (2)'!N15*Hoja1!$K$19+'Todos los Datos (2)'!S15*Hoja1!$K$20+'Todos los Datos (2)'!X15*Hoja1!$K$21+'Todos los Datos (2)'!AC15*Hoja1!$K$22+'Todos los Datos (2)'!AH15*Hoja1!$K$23+'Todos los Datos (2)'!AM15*Hoja1!$K$24</f>
        <v>173.42277829688612</v>
      </c>
      <c r="E15">
        <f>'Todos los Datos (2)'!E15*Hoja1!$K$17+'Todos los Datos (2)'!J15*Hoja1!$K$18+'Todos los Datos (2)'!O15*Hoja1!$K$19+'Todos los Datos (2)'!T15*Hoja1!$K$20+'Todos los Datos (2)'!Y15*Hoja1!$K$21+'Todos los Datos (2)'!AD15*Hoja1!$K$22+'Todos los Datos (2)'!AI15*Hoja1!$K$23+'Todos los Datos (2)'!AN15*Hoja1!$K$24</f>
        <v>174.50029403919939</v>
      </c>
      <c r="F15">
        <f>'Todos los Datos (2)'!F15*Hoja1!$K$17+'Todos los Datos (2)'!K15*Hoja1!$K$18+'Todos los Datos (2)'!P15*Hoja1!$K$19+'Todos los Datos (2)'!U15*Hoja1!$K$20+'Todos los Datos (2)'!Z15*Hoja1!$K$21+'Todos los Datos (2)'!AE15*Hoja1!$K$22+'Todos los Datos (2)'!AJ15*Hoja1!$K$23+'Todos los Datos (2)'!AO15*Hoja1!$K$24</f>
        <v>149.29121343278842</v>
      </c>
    </row>
    <row r="16" spans="1:6" x14ac:dyDescent="0.3">
      <c r="A16" s="1" t="s">
        <v>42</v>
      </c>
      <c r="B16">
        <f>'Todos los Datos (2)'!B16*Hoja1!$K$17+'Todos los Datos (2)'!G16*Hoja1!$K$18+'Todos los Datos (2)'!L16*Hoja1!$K$19+'Todos los Datos (2)'!Q16*Hoja1!$K$20+'Todos los Datos (2)'!V16*Hoja1!$K$21+'Todos los Datos (2)'!AA16*Hoja1!$K$22+'Todos los Datos (2)'!AF16*Hoja1!$K$23+'Todos los Datos (2)'!AK16*Hoja1!$K$24</f>
        <v>21.979661933396123</v>
      </c>
      <c r="C16">
        <f>'Todos los Datos (2)'!C16*Hoja1!$K$17+'Todos los Datos (2)'!H16*Hoja1!$K$18+'Todos los Datos (2)'!M16*Hoja1!$K$19+'Todos los Datos (2)'!R16*Hoja1!$K$20+'Todos los Datos (2)'!W16*Hoja1!$K$21+'Todos los Datos (2)'!AB16*Hoja1!$K$22+'Todos los Datos (2)'!AG16*Hoja1!$K$23+'Todos los Datos (2)'!AL16*Hoja1!$K$24</f>
        <v>45.501434335526447</v>
      </c>
      <c r="D16">
        <f>'Todos los Datos (2)'!D16*Hoja1!$K$17+'Todos los Datos (2)'!I16*Hoja1!$K$18+'Todos los Datos (2)'!N16*Hoja1!$K$19+'Todos los Datos (2)'!S16*Hoja1!$K$20+'Todos los Datos (2)'!X16*Hoja1!$K$21+'Todos los Datos (2)'!AC16*Hoja1!$K$22+'Todos los Datos (2)'!AH16*Hoja1!$K$23+'Todos los Datos (2)'!AM16*Hoja1!$K$24</f>
        <v>52.130748282087318</v>
      </c>
      <c r="E16">
        <f>'Todos los Datos (2)'!E16*Hoja1!$K$17+'Todos los Datos (2)'!J16*Hoja1!$K$18+'Todos los Datos (2)'!O16*Hoja1!$K$19+'Todos los Datos (2)'!T16*Hoja1!$K$20+'Todos los Datos (2)'!Y16*Hoja1!$K$21+'Todos los Datos (2)'!AD16*Hoja1!$K$22+'Todos los Datos (2)'!AI16*Hoja1!$K$23+'Todos los Datos (2)'!AN16*Hoja1!$K$24</f>
        <v>73.038101777740266</v>
      </c>
      <c r="F16">
        <f>'Todos los Datos (2)'!F16*Hoja1!$K$17+'Todos los Datos (2)'!K16*Hoja1!$K$18+'Todos los Datos (2)'!P16*Hoja1!$K$19+'Todos los Datos (2)'!U16*Hoja1!$K$20+'Todos los Datos (2)'!Z16*Hoja1!$K$21+'Todos los Datos (2)'!AE16*Hoja1!$K$22+'Todos los Datos (2)'!AJ16*Hoja1!$K$23+'Todos los Datos (2)'!AO16*Hoja1!$K$24</f>
        <v>71.531472530610557</v>
      </c>
    </row>
    <row r="17" spans="1:6" x14ac:dyDescent="0.3">
      <c r="A17" s="1" t="s">
        <v>12</v>
      </c>
      <c r="B17">
        <f>'Todos los Datos (2)'!B17*Hoja1!$K$17+'Todos los Datos (2)'!G17*Hoja1!$K$18+'Todos los Datos (2)'!L17*Hoja1!$K$19+'Todos los Datos (2)'!Q17*Hoja1!$K$20+'Todos los Datos (2)'!V17*Hoja1!$K$21+'Todos los Datos (2)'!AA17*Hoja1!$K$22+'Todos los Datos (2)'!AF17*Hoja1!$K$23+'Todos los Datos (2)'!AK17*Hoja1!$K$24</f>
        <v>150.34436365175426</v>
      </c>
      <c r="C17">
        <f>'Todos los Datos (2)'!C17*Hoja1!$K$17+'Todos los Datos (2)'!H17*Hoja1!$K$18+'Todos los Datos (2)'!M17*Hoja1!$K$19+'Todos los Datos (2)'!R17*Hoja1!$K$20+'Todos los Datos (2)'!W17*Hoja1!$K$21+'Todos los Datos (2)'!AB17*Hoja1!$K$22+'Todos los Datos (2)'!AG17*Hoja1!$K$23+'Todos los Datos (2)'!AL17*Hoja1!$K$24</f>
        <v>117.02752901720447</v>
      </c>
      <c r="D17">
        <f>'Todos los Datos (2)'!D17*Hoja1!$K$17+'Todos los Datos (2)'!I17*Hoja1!$K$18+'Todos los Datos (2)'!N17*Hoja1!$K$19+'Todos los Datos (2)'!S17*Hoja1!$K$20+'Todos los Datos (2)'!X17*Hoja1!$K$21+'Todos los Datos (2)'!AC17*Hoja1!$K$22+'Todos los Datos (2)'!AH17*Hoja1!$K$23+'Todos los Datos (2)'!AM17*Hoja1!$K$24</f>
        <v>65.902728282524691</v>
      </c>
      <c r="E17">
        <f>'Todos los Datos (2)'!E17*Hoja1!$K$17+'Todos los Datos (2)'!J17*Hoja1!$K$18+'Todos los Datos (2)'!O17*Hoja1!$K$19+'Todos los Datos (2)'!T17*Hoja1!$K$20+'Todos los Datos (2)'!Y17*Hoja1!$K$21+'Todos los Datos (2)'!AD17*Hoja1!$K$22+'Todos los Datos (2)'!AI17*Hoja1!$K$23+'Todos los Datos (2)'!AN17*Hoja1!$K$24</f>
        <v>82.570410223227356</v>
      </c>
      <c r="F17">
        <f>'Todos los Datos (2)'!F17*Hoja1!$K$17+'Todos los Datos (2)'!K17*Hoja1!$K$18+'Todos los Datos (2)'!P17*Hoja1!$K$19+'Todos los Datos (2)'!U17*Hoja1!$K$20+'Todos los Datos (2)'!Z17*Hoja1!$K$21+'Todos los Datos (2)'!AE17*Hoja1!$K$22+'Todos los Datos (2)'!AJ17*Hoja1!$K$23+'Todos los Datos (2)'!AO17*Hoja1!$K$24</f>
        <v>94.940954048694636</v>
      </c>
    </row>
    <row r="18" spans="1:6" x14ac:dyDescent="0.3">
      <c r="A18" s="1" t="s">
        <v>13</v>
      </c>
      <c r="B18">
        <f>'Todos los Datos (2)'!B18*Hoja1!$K$17+'Todos los Datos (2)'!G18*Hoja1!$K$18+'Todos los Datos (2)'!L18*Hoja1!$K$19+'Todos los Datos (2)'!Q18*Hoja1!$K$20+'Todos los Datos (2)'!V18*Hoja1!$K$21+'Todos los Datos (2)'!AA18*Hoja1!$K$22+'Todos los Datos (2)'!AF18*Hoja1!$K$23+'Todos los Datos (2)'!AK18*Hoja1!$K$24</f>
        <v>161.87453104515487</v>
      </c>
      <c r="C18">
        <f>'Todos los Datos (2)'!C18*Hoja1!$K$17+'Todos los Datos (2)'!H18*Hoja1!$K$18+'Todos los Datos (2)'!M18*Hoja1!$K$19+'Todos los Datos (2)'!R18*Hoja1!$K$20+'Todos los Datos (2)'!W18*Hoja1!$K$21+'Todos los Datos (2)'!AB18*Hoja1!$K$22+'Todos los Datos (2)'!AG18*Hoja1!$K$23+'Todos los Datos (2)'!AL18*Hoja1!$K$24</f>
        <v>267.28700779264017</v>
      </c>
      <c r="D18">
        <f>'Todos los Datos (2)'!D18*Hoja1!$K$17+'Todos los Datos (2)'!I18*Hoja1!$K$18+'Todos los Datos (2)'!N18*Hoja1!$K$19+'Todos los Datos (2)'!S18*Hoja1!$K$20+'Todos los Datos (2)'!X18*Hoja1!$K$21+'Todos los Datos (2)'!AC18*Hoja1!$K$22+'Todos los Datos (2)'!AH18*Hoja1!$K$23+'Todos los Datos (2)'!AM18*Hoja1!$K$24</f>
        <v>246.00314419005574</v>
      </c>
      <c r="E18">
        <f>'Todos los Datos (2)'!E18*Hoja1!$K$17+'Todos los Datos (2)'!J18*Hoja1!$K$18+'Todos los Datos (2)'!O18*Hoja1!$K$19+'Todos los Datos (2)'!T18*Hoja1!$K$20+'Todos los Datos (2)'!Y18*Hoja1!$K$21+'Todos los Datos (2)'!AD18*Hoja1!$K$22+'Todos los Datos (2)'!AI18*Hoja1!$K$23+'Todos los Datos (2)'!AN18*Hoja1!$K$24</f>
        <v>282.05227484512125</v>
      </c>
      <c r="F18">
        <f>'Todos los Datos (2)'!F18*Hoja1!$K$17+'Todos los Datos (2)'!K18*Hoja1!$K$18+'Todos los Datos (2)'!P18*Hoja1!$K$19+'Todos los Datos (2)'!U18*Hoja1!$K$20+'Todos los Datos (2)'!Z18*Hoja1!$K$21+'Todos los Datos (2)'!AE18*Hoja1!$K$22+'Todos los Datos (2)'!AJ18*Hoja1!$K$23+'Todos los Datos (2)'!AO18*Hoja1!$K$24</f>
        <v>305.23796885345729</v>
      </c>
    </row>
    <row r="19" spans="1:6" x14ac:dyDescent="0.3">
      <c r="A19" s="1" t="s">
        <v>14</v>
      </c>
      <c r="B19">
        <f>'Todos los Datos (2)'!B19*Hoja1!$K$17+'Todos los Datos (2)'!G19*Hoja1!$K$18+'Todos los Datos (2)'!L19*Hoja1!$K$19+'Todos los Datos (2)'!Q19*Hoja1!$K$20+'Todos los Datos (2)'!V19*Hoja1!$K$21+'Todos los Datos (2)'!AA19*Hoja1!$K$22+'Todos los Datos (2)'!AF19*Hoja1!$K$23+'Todos los Datos (2)'!AK19*Hoja1!$K$24</f>
        <v>80.413041480567429</v>
      </c>
      <c r="C19">
        <f>'Todos los Datos (2)'!C19*Hoja1!$K$17+'Todos los Datos (2)'!H19*Hoja1!$K$18+'Todos los Datos (2)'!M19*Hoja1!$K$19+'Todos los Datos (2)'!R19*Hoja1!$K$20+'Todos los Datos (2)'!W19*Hoja1!$K$21+'Todos los Datos (2)'!AB19*Hoja1!$K$22+'Todos los Datos (2)'!AG19*Hoja1!$K$23+'Todos los Datos (2)'!AL19*Hoja1!$K$24</f>
        <v>111.52343689314559</v>
      </c>
      <c r="D19">
        <f>'Todos los Datos (2)'!D19*Hoja1!$K$17+'Todos los Datos (2)'!I19*Hoja1!$K$18+'Todos los Datos (2)'!N19*Hoja1!$K$19+'Todos los Datos (2)'!S19*Hoja1!$K$20+'Todos los Datos (2)'!X19*Hoja1!$K$21+'Todos los Datos (2)'!AC19*Hoja1!$K$22+'Todos los Datos (2)'!AH19*Hoja1!$K$23+'Todos los Datos (2)'!AM19*Hoja1!$K$24</f>
        <v>107.09400022530397</v>
      </c>
      <c r="E19">
        <f>'Todos los Datos (2)'!E19*Hoja1!$K$17+'Todos los Datos (2)'!J19*Hoja1!$K$18+'Todos los Datos (2)'!O19*Hoja1!$K$19+'Todos los Datos (2)'!T19*Hoja1!$K$20+'Todos los Datos (2)'!Y19*Hoja1!$K$21+'Todos los Datos (2)'!AD19*Hoja1!$K$22+'Todos los Datos (2)'!AI19*Hoja1!$K$23+'Todos los Datos (2)'!AN19*Hoja1!$K$24</f>
        <v>187.16049759988755</v>
      </c>
      <c r="F19">
        <f>'Todos los Datos (2)'!F19*Hoja1!$K$17+'Todos los Datos (2)'!K19*Hoja1!$K$18+'Todos los Datos (2)'!P19*Hoja1!$K$19+'Todos los Datos (2)'!U19*Hoja1!$K$20+'Todos los Datos (2)'!Z19*Hoja1!$K$21+'Todos los Datos (2)'!AE19*Hoja1!$K$22+'Todos los Datos (2)'!AJ19*Hoja1!$K$23+'Todos los Datos (2)'!AO19*Hoja1!$K$24</f>
        <v>175.79167486981308</v>
      </c>
    </row>
    <row r="20" spans="1:6" x14ac:dyDescent="0.3">
      <c r="A20" s="1" t="s">
        <v>15</v>
      </c>
      <c r="B20">
        <f>'Todos los Datos (2)'!B20*Hoja1!$K$17+'Todos los Datos (2)'!G20*Hoja1!$K$18+'Todos los Datos (2)'!L20*Hoja1!$K$19+'Todos los Datos (2)'!Q20*Hoja1!$K$20+'Todos los Datos (2)'!V20*Hoja1!$K$21+'Todos los Datos (2)'!AA20*Hoja1!$K$22+'Todos los Datos (2)'!AF20*Hoja1!$K$23+'Todos los Datos (2)'!AK20*Hoja1!$K$24</f>
        <v>156.33078517111227</v>
      </c>
      <c r="C20">
        <f>'Todos los Datos (2)'!C20*Hoja1!$K$17+'Todos los Datos (2)'!H20*Hoja1!$K$18+'Todos los Datos (2)'!M20*Hoja1!$K$19+'Todos los Datos (2)'!R20*Hoja1!$K$20+'Todos los Datos (2)'!W20*Hoja1!$K$21+'Todos los Datos (2)'!AB20*Hoja1!$K$22+'Todos los Datos (2)'!AG20*Hoja1!$K$23+'Todos los Datos (2)'!AL20*Hoja1!$K$24</f>
        <v>215.20136463209923</v>
      </c>
      <c r="D20">
        <f>'Todos los Datos (2)'!D20*Hoja1!$K$17+'Todos los Datos (2)'!I20*Hoja1!$K$18+'Todos los Datos (2)'!N20*Hoja1!$K$19+'Todos los Datos (2)'!S20*Hoja1!$K$20+'Todos los Datos (2)'!X20*Hoja1!$K$21+'Todos los Datos (2)'!AC20*Hoja1!$K$22+'Todos los Datos (2)'!AH20*Hoja1!$K$23+'Todos los Datos (2)'!AM20*Hoja1!$K$24</f>
        <v>242.68929036732672</v>
      </c>
      <c r="E20">
        <f>'Todos los Datos (2)'!E20*Hoja1!$K$17+'Todos los Datos (2)'!J20*Hoja1!$K$18+'Todos los Datos (2)'!O20*Hoja1!$K$19+'Todos los Datos (2)'!T20*Hoja1!$K$20+'Todos los Datos (2)'!Y20*Hoja1!$K$21+'Todos los Datos (2)'!AD20*Hoja1!$K$22+'Todos los Datos (2)'!AI20*Hoja1!$K$23+'Todos los Datos (2)'!AN20*Hoja1!$K$24</f>
        <v>250.75504752289376</v>
      </c>
      <c r="F20">
        <f>'Todos los Datos (2)'!F20*Hoja1!$K$17+'Todos los Datos (2)'!K20*Hoja1!$K$18+'Todos los Datos (2)'!P20*Hoja1!$K$19+'Todos los Datos (2)'!U20*Hoja1!$K$20+'Todos los Datos (2)'!Z20*Hoja1!$K$21+'Todos los Datos (2)'!AE20*Hoja1!$K$22+'Todos los Datos (2)'!AJ20*Hoja1!$K$23+'Todos los Datos (2)'!AO20*Hoja1!$K$24</f>
        <v>275.52224902924581</v>
      </c>
    </row>
    <row r="21" spans="1:6" x14ac:dyDescent="0.3">
      <c r="A21" s="1" t="s">
        <v>16</v>
      </c>
      <c r="B21">
        <f>'Todos los Datos (2)'!B21*Hoja1!$K$17+'Todos los Datos (2)'!G21*Hoja1!$K$18+'Todos los Datos (2)'!L21*Hoja1!$K$19+'Todos los Datos (2)'!Q21*Hoja1!$K$20+'Todos los Datos (2)'!V21*Hoja1!$K$21+'Todos los Datos (2)'!AA21*Hoja1!$K$22+'Todos los Datos (2)'!AF21*Hoja1!$K$23+'Todos los Datos (2)'!AK21*Hoja1!$K$24</f>
        <v>141.60919187892932</v>
      </c>
      <c r="C21">
        <f>'Todos los Datos (2)'!C21*Hoja1!$K$17+'Todos los Datos (2)'!H21*Hoja1!$K$18+'Todos los Datos (2)'!M21*Hoja1!$K$19+'Todos los Datos (2)'!R21*Hoja1!$K$20+'Todos los Datos (2)'!W21*Hoja1!$K$21+'Todos los Datos (2)'!AB21*Hoja1!$K$22+'Todos los Datos (2)'!AG21*Hoja1!$K$23+'Todos los Datos (2)'!AL21*Hoja1!$K$24</f>
        <v>225.5777373946928</v>
      </c>
      <c r="D21">
        <f>'Todos los Datos (2)'!D21*Hoja1!$K$17+'Todos los Datos (2)'!I21*Hoja1!$K$18+'Todos los Datos (2)'!N21*Hoja1!$K$19+'Todos los Datos (2)'!S21*Hoja1!$K$20+'Todos los Datos (2)'!X21*Hoja1!$K$21+'Todos los Datos (2)'!AC21*Hoja1!$K$22+'Todos los Datos (2)'!AH21*Hoja1!$K$23+'Todos los Datos (2)'!AM21*Hoja1!$K$24</f>
        <v>254.52021096511967</v>
      </c>
      <c r="E21">
        <f>'Todos los Datos (2)'!E21*Hoja1!$K$17+'Todos los Datos (2)'!J21*Hoja1!$K$18+'Todos los Datos (2)'!O21*Hoja1!$K$19+'Todos los Datos (2)'!T21*Hoja1!$K$20+'Todos los Datos (2)'!Y21*Hoja1!$K$21+'Todos los Datos (2)'!AD21*Hoja1!$K$22+'Todos los Datos (2)'!AI21*Hoja1!$K$23+'Todos los Datos (2)'!AN21*Hoja1!$K$24</f>
        <v>219.81964212534015</v>
      </c>
      <c r="F21">
        <f>'Todos los Datos (2)'!F21*Hoja1!$K$17+'Todos los Datos (2)'!K21*Hoja1!$K$18+'Todos los Datos (2)'!P21*Hoja1!$K$19+'Todos los Datos (2)'!U21*Hoja1!$K$20+'Todos los Datos (2)'!Z21*Hoja1!$K$21+'Todos los Datos (2)'!AE21*Hoja1!$K$22+'Todos los Datos (2)'!AJ21*Hoja1!$K$23+'Todos los Datos (2)'!AO21*Hoja1!$K$24</f>
        <v>182.03852507222371</v>
      </c>
    </row>
    <row r="22" spans="1:6" x14ac:dyDescent="0.3">
      <c r="A22" s="1" t="s">
        <v>43</v>
      </c>
      <c r="B22">
        <f>'Todos los Datos (2)'!B22*Hoja1!$K$17+'Todos los Datos (2)'!G22*Hoja1!$K$18+'Todos los Datos (2)'!L22*Hoja1!$K$19+'Todos los Datos (2)'!Q22*Hoja1!$K$20+'Todos los Datos (2)'!V22*Hoja1!$K$21+'Todos los Datos (2)'!AA22*Hoja1!$K$22+'Todos los Datos (2)'!AF22*Hoja1!$K$23+'Todos los Datos (2)'!AK22*Hoja1!$K$24</f>
        <v>143.61970079806289</v>
      </c>
      <c r="C22">
        <f>'Todos los Datos (2)'!C22*Hoja1!$K$17+'Todos los Datos (2)'!H22*Hoja1!$K$18+'Todos los Datos (2)'!M22*Hoja1!$K$19+'Todos los Datos (2)'!R22*Hoja1!$K$20+'Todos los Datos (2)'!W22*Hoja1!$K$21+'Todos los Datos (2)'!AB22*Hoja1!$K$22+'Todos los Datos (2)'!AG22*Hoja1!$K$23+'Todos los Datos (2)'!AL22*Hoja1!$K$24</f>
        <v>211.20019270710537</v>
      </c>
      <c r="D22">
        <f>'Todos los Datos (2)'!D22*Hoja1!$K$17+'Todos los Datos (2)'!I22*Hoja1!$K$18+'Todos los Datos (2)'!N22*Hoja1!$K$19+'Todos los Datos (2)'!S22*Hoja1!$K$20+'Todos los Datos (2)'!X22*Hoja1!$K$21+'Todos los Datos (2)'!AC22*Hoja1!$K$22+'Todos los Datos (2)'!AH22*Hoja1!$K$23+'Todos los Datos (2)'!AM22*Hoja1!$K$24</f>
        <v>301.75077471745101</v>
      </c>
      <c r="E22">
        <f>'Todos los Datos (2)'!E22*Hoja1!$K$17+'Todos los Datos (2)'!J22*Hoja1!$K$18+'Todos los Datos (2)'!O22*Hoja1!$K$19+'Todos los Datos (2)'!T22*Hoja1!$K$20+'Todos los Datos (2)'!Y22*Hoja1!$K$21+'Todos los Datos (2)'!AD22*Hoja1!$K$22+'Todos los Datos (2)'!AI22*Hoja1!$K$23+'Todos los Datos (2)'!AN22*Hoja1!$K$24</f>
        <v>291.17355452912449</v>
      </c>
      <c r="F22">
        <f>'Todos los Datos (2)'!F22*Hoja1!$K$17+'Todos los Datos (2)'!K22*Hoja1!$K$18+'Todos los Datos (2)'!P22*Hoja1!$K$19+'Todos los Datos (2)'!U22*Hoja1!$K$20+'Todos los Datos (2)'!Z22*Hoja1!$K$21+'Todos los Datos (2)'!AE22*Hoja1!$K$22+'Todos los Datos (2)'!AJ22*Hoja1!$K$23+'Todos los Datos (2)'!AO22*Hoja1!$K$24</f>
        <v>271.36796646054177</v>
      </c>
    </row>
    <row r="23" spans="1:6" x14ac:dyDescent="0.3">
      <c r="A23" s="1" t="s">
        <v>44</v>
      </c>
      <c r="B23">
        <f>'Todos los Datos (2)'!B23*Hoja1!$K$17+'Todos los Datos (2)'!G23*Hoja1!$K$18+'Todos los Datos (2)'!L23*Hoja1!$K$19+'Todos los Datos (2)'!Q23*Hoja1!$K$20+'Todos los Datos (2)'!V23*Hoja1!$K$21+'Todos los Datos (2)'!AA23*Hoja1!$K$22+'Todos los Datos (2)'!AF23*Hoja1!$K$23+'Todos los Datos (2)'!AK23*Hoja1!$K$24</f>
        <v>261.96568538589872</v>
      </c>
      <c r="C23">
        <f>'Todos los Datos (2)'!C23*Hoja1!$K$17+'Todos los Datos (2)'!H23*Hoja1!$K$18+'Todos los Datos (2)'!M23*Hoja1!$K$19+'Todos los Datos (2)'!R23*Hoja1!$K$20+'Todos los Datos (2)'!W23*Hoja1!$K$21+'Todos los Datos (2)'!AB23*Hoja1!$K$22+'Todos los Datos (2)'!AG23*Hoja1!$K$23+'Todos los Datos (2)'!AL23*Hoja1!$K$24</f>
        <v>322.2228289004737</v>
      </c>
      <c r="D23">
        <f>'Todos los Datos (2)'!D23*Hoja1!$K$17+'Todos los Datos (2)'!I23*Hoja1!$K$18+'Todos los Datos (2)'!N23*Hoja1!$K$19+'Todos los Datos (2)'!S23*Hoja1!$K$20+'Todos los Datos (2)'!X23*Hoja1!$K$21+'Todos los Datos (2)'!AC23*Hoja1!$K$22+'Todos los Datos (2)'!AH23*Hoja1!$K$23+'Todos los Datos (2)'!AM23*Hoja1!$K$24</f>
        <v>363.90708262681915</v>
      </c>
      <c r="E23">
        <f>'Todos los Datos (2)'!E23*Hoja1!$K$17+'Todos los Datos (2)'!J23*Hoja1!$K$18+'Todos los Datos (2)'!O23*Hoja1!$K$19+'Todos los Datos (2)'!T23*Hoja1!$K$20+'Todos los Datos (2)'!Y23*Hoja1!$K$21+'Todos los Datos (2)'!AD23*Hoja1!$K$22+'Todos los Datos (2)'!AI23*Hoja1!$K$23+'Todos los Datos (2)'!AN23*Hoja1!$K$24</f>
        <v>324.92003853055422</v>
      </c>
      <c r="F23">
        <f>'Todos los Datos (2)'!F23*Hoja1!$K$17+'Todos los Datos (2)'!K23*Hoja1!$K$18+'Todos los Datos (2)'!P23*Hoja1!$K$19+'Todos los Datos (2)'!U23*Hoja1!$K$20+'Todos los Datos (2)'!Z23*Hoja1!$K$21+'Todos los Datos (2)'!AE23*Hoja1!$K$22+'Todos los Datos (2)'!AJ23*Hoja1!$K$23+'Todos los Datos (2)'!AO23*Hoja1!$K$24</f>
        <v>333.81401230519839</v>
      </c>
    </row>
    <row r="24" spans="1:6" x14ac:dyDescent="0.3">
      <c r="A24" s="1" t="s">
        <v>17</v>
      </c>
      <c r="B24">
        <f>'Todos los Datos (2)'!B24*Hoja1!$K$17+'Todos los Datos (2)'!G24*Hoja1!$K$18+'Todos los Datos (2)'!L24*Hoja1!$K$19+'Todos los Datos (2)'!Q24*Hoja1!$K$20+'Todos los Datos (2)'!V24*Hoja1!$K$21+'Todos los Datos (2)'!AA24*Hoja1!$K$22+'Todos los Datos (2)'!AF24*Hoja1!$K$23+'Todos los Datos (2)'!AK24*Hoja1!$K$24</f>
        <v>152.04424290176726</v>
      </c>
      <c r="C24">
        <f>'Todos los Datos (2)'!C24*Hoja1!$K$17+'Todos los Datos (2)'!H24*Hoja1!$K$18+'Todos los Datos (2)'!M24*Hoja1!$K$19+'Todos los Datos (2)'!R24*Hoja1!$K$20+'Todos los Datos (2)'!W24*Hoja1!$K$21+'Todos los Datos (2)'!AB24*Hoja1!$K$22+'Todos los Datos (2)'!AG24*Hoja1!$K$23+'Todos los Datos (2)'!AL24*Hoja1!$K$24</f>
        <v>236.57624495392758</v>
      </c>
      <c r="D24">
        <f>'Todos los Datos (2)'!D24*Hoja1!$K$17+'Todos los Datos (2)'!I24*Hoja1!$K$18+'Todos los Datos (2)'!N24*Hoja1!$K$19+'Todos los Datos (2)'!S24*Hoja1!$K$20+'Todos los Datos (2)'!X24*Hoja1!$K$21+'Todos los Datos (2)'!AC24*Hoja1!$K$22+'Todos los Datos (2)'!AH24*Hoja1!$K$23+'Todos los Datos (2)'!AM24*Hoja1!$K$24</f>
        <v>217.64119464355474</v>
      </c>
      <c r="E24">
        <f>'Todos los Datos (2)'!E24*Hoja1!$K$17+'Todos los Datos (2)'!J24*Hoja1!$K$18+'Todos los Datos (2)'!O24*Hoja1!$K$19+'Todos los Datos (2)'!T24*Hoja1!$K$20+'Todos los Datos (2)'!Y24*Hoja1!$K$21+'Todos los Datos (2)'!AD24*Hoja1!$K$22+'Todos los Datos (2)'!AI24*Hoja1!$K$23+'Todos los Datos (2)'!AN24*Hoja1!$K$24</f>
        <v>186.94631657001187</v>
      </c>
      <c r="F24">
        <f>'Todos los Datos (2)'!F24*Hoja1!$K$17+'Todos los Datos (2)'!K24*Hoja1!$K$18+'Todos los Datos (2)'!P24*Hoja1!$K$19+'Todos los Datos (2)'!U24*Hoja1!$K$20+'Todos los Datos (2)'!Z24*Hoja1!$K$21+'Todos los Datos (2)'!AE24*Hoja1!$K$22+'Todos los Datos (2)'!AJ24*Hoja1!$K$23+'Todos los Datos (2)'!AO24*Hoja1!$K$24</f>
        <v>216.15768581889324</v>
      </c>
    </row>
    <row r="25" spans="1:6" x14ac:dyDescent="0.3">
      <c r="A25" s="1" t="s">
        <v>45</v>
      </c>
      <c r="B25">
        <f>'Todos los Datos (2)'!B25*Hoja1!$K$17+'Todos los Datos (2)'!G25*Hoja1!$K$18+'Todos los Datos (2)'!L25*Hoja1!$K$19+'Todos los Datos (2)'!Q25*Hoja1!$K$20+'Todos los Datos (2)'!V25*Hoja1!$K$21+'Todos los Datos (2)'!AA25*Hoja1!$K$22+'Todos los Datos (2)'!AF25*Hoja1!$K$23+'Todos los Datos (2)'!AK25*Hoja1!$K$24</f>
        <v>93.56356818620506</v>
      </c>
      <c r="C25">
        <f>'Todos los Datos (2)'!C25*Hoja1!$K$17+'Todos los Datos (2)'!H25*Hoja1!$K$18+'Todos los Datos (2)'!M25*Hoja1!$K$19+'Todos los Datos (2)'!R25*Hoja1!$K$20+'Todos los Datos (2)'!W25*Hoja1!$K$21+'Todos los Datos (2)'!AB25*Hoja1!$K$22+'Todos los Datos (2)'!AG25*Hoja1!$K$23+'Todos los Datos (2)'!AL25*Hoja1!$K$24</f>
        <v>120.64307002864987</v>
      </c>
      <c r="D25">
        <f>'Todos los Datos (2)'!D25*Hoja1!$K$17+'Todos los Datos (2)'!I25*Hoja1!$K$18+'Todos los Datos (2)'!N25*Hoja1!$K$19+'Todos los Datos (2)'!S25*Hoja1!$K$20+'Todos los Datos (2)'!X25*Hoja1!$K$21+'Todos los Datos (2)'!AC25*Hoja1!$K$22+'Todos los Datos (2)'!AH25*Hoja1!$K$23+'Todos los Datos (2)'!AM25*Hoja1!$K$24</f>
        <v>137.31514771876812</v>
      </c>
      <c r="E25">
        <f>'Todos los Datos (2)'!E25*Hoja1!$K$17+'Todos los Datos (2)'!J25*Hoja1!$K$18+'Todos los Datos (2)'!O25*Hoja1!$K$19+'Todos los Datos (2)'!T25*Hoja1!$K$20+'Todos los Datos (2)'!Y25*Hoja1!$K$21+'Todos los Datos (2)'!AD25*Hoja1!$K$22+'Todos los Datos (2)'!AI25*Hoja1!$K$23+'Todos los Datos (2)'!AN25*Hoja1!$K$24</f>
        <v>150.57445726089801</v>
      </c>
      <c r="F25">
        <f>'Todos los Datos (2)'!F25*Hoja1!$K$17+'Todos los Datos (2)'!K25*Hoja1!$K$18+'Todos los Datos (2)'!P25*Hoja1!$K$19+'Todos los Datos (2)'!U25*Hoja1!$K$20+'Todos los Datos (2)'!Z25*Hoja1!$K$21+'Todos los Datos (2)'!AE25*Hoja1!$K$22+'Todos los Datos (2)'!AJ25*Hoja1!$K$23+'Todos los Datos (2)'!AO25*Hoja1!$K$24</f>
        <v>179.1453659726688</v>
      </c>
    </row>
    <row r="26" spans="1:6" x14ac:dyDescent="0.3">
      <c r="A26" s="1" t="s">
        <v>37</v>
      </c>
      <c r="B26">
        <f>'Todos los Datos (2)'!B26*Hoja1!$K$17+'Todos los Datos (2)'!G26*Hoja1!$K$18+'Todos los Datos (2)'!L26*Hoja1!$K$19+'Todos los Datos (2)'!Q26*Hoja1!$K$20+'Todos los Datos (2)'!V26*Hoja1!$K$21+'Todos los Datos (2)'!AA26*Hoja1!$K$22+'Todos los Datos (2)'!AF26*Hoja1!$K$23+'Todos los Datos (2)'!AK26*Hoja1!$K$24</f>
        <v>172.43756951754841</v>
      </c>
      <c r="C26">
        <f>'Todos los Datos (2)'!C26*Hoja1!$K$17+'Todos los Datos (2)'!H26*Hoja1!$K$18+'Todos los Datos (2)'!M26*Hoja1!$K$19+'Todos los Datos (2)'!R26*Hoja1!$K$20+'Todos los Datos (2)'!W26*Hoja1!$K$21+'Todos los Datos (2)'!AB26*Hoja1!$K$22+'Todos los Datos (2)'!AG26*Hoja1!$K$23+'Todos los Datos (2)'!AL26*Hoja1!$K$24</f>
        <v>125.42859943791828</v>
      </c>
      <c r="D26">
        <f>'Todos los Datos (2)'!D26*Hoja1!$K$17+'Todos los Datos (2)'!I26*Hoja1!$K$18+'Todos los Datos (2)'!N26*Hoja1!$K$19+'Todos los Datos (2)'!S26*Hoja1!$K$20+'Todos los Datos (2)'!X26*Hoja1!$K$21+'Todos los Datos (2)'!AC26*Hoja1!$K$22+'Todos los Datos (2)'!AH26*Hoja1!$K$23+'Todos los Datos (2)'!AM26*Hoja1!$K$24</f>
        <v>116.03234880106839</v>
      </c>
      <c r="E26">
        <f>'Todos los Datos (2)'!E26*Hoja1!$K$17+'Todos los Datos (2)'!J26*Hoja1!$K$18+'Todos los Datos (2)'!O26*Hoja1!$K$19+'Todos los Datos (2)'!T26*Hoja1!$K$20+'Todos los Datos (2)'!Y26*Hoja1!$K$21+'Todos los Datos (2)'!AD26*Hoja1!$K$22+'Todos los Datos (2)'!AI26*Hoja1!$K$23+'Todos los Datos (2)'!AN26*Hoja1!$K$24</f>
        <v>125.06743357138109</v>
      </c>
      <c r="F26">
        <f>'Todos los Datos (2)'!F26*Hoja1!$K$17+'Todos los Datos (2)'!K26*Hoja1!$K$18+'Todos los Datos (2)'!P26*Hoja1!$K$19+'Todos los Datos (2)'!U26*Hoja1!$K$20+'Todos los Datos (2)'!Z26*Hoja1!$K$21+'Todos los Datos (2)'!AE26*Hoja1!$K$22+'Todos los Datos (2)'!AJ26*Hoja1!$K$23+'Todos los Datos (2)'!AO26*Hoja1!$K$24</f>
        <v>144.30767270348812</v>
      </c>
    </row>
    <row r="27" spans="1:6" x14ac:dyDescent="0.3">
      <c r="A27" s="1" t="s">
        <v>18</v>
      </c>
      <c r="B27">
        <f>'Todos los Datos (2)'!B27*Hoja1!$K$17+'Todos los Datos (2)'!G27*Hoja1!$K$18+'Todos los Datos (2)'!L27*Hoja1!$K$19+'Todos los Datos (2)'!Q27*Hoja1!$K$20+'Todos los Datos (2)'!V27*Hoja1!$K$21+'Todos los Datos (2)'!AA27*Hoja1!$K$22+'Todos los Datos (2)'!AF27*Hoja1!$K$23+'Todos los Datos (2)'!AK27*Hoja1!$K$24</f>
        <v>111.17778687003972</v>
      </c>
      <c r="C27">
        <f>'Todos los Datos (2)'!C27*Hoja1!$K$17+'Todos los Datos (2)'!H27*Hoja1!$K$18+'Todos los Datos (2)'!M27*Hoja1!$K$19+'Todos los Datos (2)'!R27*Hoja1!$K$20+'Todos los Datos (2)'!W27*Hoja1!$K$21+'Todos los Datos (2)'!AB27*Hoja1!$K$22+'Todos los Datos (2)'!AG27*Hoja1!$K$23+'Todos los Datos (2)'!AL27*Hoja1!$K$24</f>
        <v>102.77629756912111</v>
      </c>
      <c r="D27">
        <f>'Todos los Datos (2)'!D27*Hoja1!$K$17+'Todos los Datos (2)'!I27*Hoja1!$K$18+'Todos los Datos (2)'!N27*Hoja1!$K$19+'Todos los Datos (2)'!S27*Hoja1!$K$20+'Todos los Datos (2)'!X27*Hoja1!$K$21+'Todos los Datos (2)'!AC27*Hoja1!$K$22+'Todos los Datos (2)'!AH27*Hoja1!$K$23+'Todos los Datos (2)'!AM27*Hoja1!$K$24</f>
        <v>97.524159333706933</v>
      </c>
      <c r="E27">
        <f>'Todos los Datos (2)'!E27*Hoja1!$K$17+'Todos los Datos (2)'!J27*Hoja1!$K$18+'Todos los Datos (2)'!O27*Hoja1!$K$19+'Todos los Datos (2)'!T27*Hoja1!$K$20+'Todos los Datos (2)'!Y27*Hoja1!$K$21+'Todos los Datos (2)'!AD27*Hoja1!$K$22+'Todos los Datos (2)'!AI27*Hoja1!$K$23+'Todos los Datos (2)'!AN27*Hoja1!$K$24</f>
        <v>152.33491006751265</v>
      </c>
      <c r="F27">
        <f>'Todos los Datos (2)'!F27*Hoja1!$K$17+'Todos los Datos (2)'!K27*Hoja1!$K$18+'Todos los Datos (2)'!P27*Hoja1!$K$19+'Todos los Datos (2)'!U27*Hoja1!$K$20+'Todos los Datos (2)'!Z27*Hoja1!$K$21+'Todos los Datos (2)'!AE27*Hoja1!$K$22+'Todos los Datos (2)'!AJ27*Hoja1!$K$23+'Todos los Datos (2)'!AO27*Hoja1!$K$24</f>
        <v>199.26009024175696</v>
      </c>
    </row>
    <row r="28" spans="1:6" x14ac:dyDescent="0.3">
      <c r="A28" s="1" t="s">
        <v>19</v>
      </c>
      <c r="B28">
        <f>'Todos los Datos (2)'!B28*Hoja1!$K$17+'Todos los Datos (2)'!G28*Hoja1!$K$18+'Todos los Datos (2)'!L28*Hoja1!$K$19+'Todos los Datos (2)'!Q28*Hoja1!$K$20+'Todos los Datos (2)'!V28*Hoja1!$K$21+'Todos los Datos (2)'!AA28*Hoja1!$K$22+'Todos los Datos (2)'!AF28*Hoja1!$K$23+'Todos los Datos (2)'!AK28*Hoja1!$K$24</f>
        <v>263.49087003520219</v>
      </c>
      <c r="C28">
        <f>'Todos los Datos (2)'!C28*Hoja1!$K$17+'Todos los Datos (2)'!H28*Hoja1!$K$18+'Todos los Datos (2)'!M28*Hoja1!$K$19+'Todos los Datos (2)'!R28*Hoja1!$K$20+'Todos los Datos (2)'!W28*Hoja1!$K$21+'Todos los Datos (2)'!AB28*Hoja1!$K$22+'Todos los Datos (2)'!AG28*Hoja1!$K$23+'Todos los Datos (2)'!AL28*Hoja1!$K$24</f>
        <v>336.31230503252112</v>
      </c>
      <c r="D28">
        <f>'Todos los Datos (2)'!D28*Hoja1!$K$17+'Todos los Datos (2)'!I28*Hoja1!$K$18+'Todos los Datos (2)'!N28*Hoja1!$K$19+'Todos los Datos (2)'!S28*Hoja1!$K$20+'Todos los Datos (2)'!X28*Hoja1!$K$21+'Todos los Datos (2)'!AC28*Hoja1!$K$22+'Todos los Datos (2)'!AH28*Hoja1!$K$23+'Todos los Datos (2)'!AM28*Hoja1!$K$24</f>
        <v>425.97890035843784</v>
      </c>
      <c r="E28">
        <f>'Todos los Datos (2)'!E28*Hoja1!$K$17+'Todos los Datos (2)'!J28*Hoja1!$K$18+'Todos los Datos (2)'!O28*Hoja1!$K$19+'Todos los Datos (2)'!T28*Hoja1!$K$20+'Todos los Datos (2)'!Y28*Hoja1!$K$21+'Todos los Datos (2)'!AD28*Hoja1!$K$22+'Todos los Datos (2)'!AI28*Hoja1!$K$23+'Todos los Datos (2)'!AN28*Hoja1!$K$24</f>
        <v>457.16003817331864</v>
      </c>
      <c r="F28">
        <f>'Todos los Datos (2)'!F28*Hoja1!$K$17+'Todos los Datos (2)'!K28*Hoja1!$K$18+'Todos los Datos (2)'!P28*Hoja1!$K$19+'Todos los Datos (2)'!U28*Hoja1!$K$20+'Todos los Datos (2)'!Z28*Hoja1!$K$21+'Todos los Datos (2)'!AE28*Hoja1!$K$22+'Todos los Datos (2)'!AJ28*Hoja1!$K$23+'Todos los Datos (2)'!AO28*Hoja1!$K$24</f>
        <v>492.43855722328988</v>
      </c>
    </row>
    <row r="29" spans="1:6" x14ac:dyDescent="0.3">
      <c r="A29" s="1" t="s">
        <v>20</v>
      </c>
      <c r="B29">
        <f>'Todos los Datos (2)'!B29*Hoja1!$K$17+'Todos los Datos (2)'!G29*Hoja1!$K$18+'Todos los Datos (2)'!L29*Hoja1!$K$19+'Todos los Datos (2)'!Q29*Hoja1!$K$20+'Todos los Datos (2)'!V29*Hoja1!$K$21+'Todos los Datos (2)'!AA29*Hoja1!$K$22+'Todos los Datos (2)'!AF29*Hoja1!$K$23+'Todos los Datos (2)'!AK29*Hoja1!$K$24</f>
        <v>161.10124692374274</v>
      </c>
      <c r="C29">
        <f>'Todos los Datos (2)'!C29*Hoja1!$K$17+'Todos los Datos (2)'!H29*Hoja1!$K$18+'Todos los Datos (2)'!M29*Hoja1!$K$19+'Todos los Datos (2)'!R29*Hoja1!$K$20+'Todos los Datos (2)'!W29*Hoja1!$K$21+'Todos los Datos (2)'!AB29*Hoja1!$K$22+'Todos los Datos (2)'!AG29*Hoja1!$K$23+'Todos los Datos (2)'!AL29*Hoja1!$K$24</f>
        <v>222.29740098497859</v>
      </c>
      <c r="D29">
        <f>'Todos los Datos (2)'!D29*Hoja1!$K$17+'Todos los Datos (2)'!I29*Hoja1!$K$18+'Todos los Datos (2)'!N29*Hoja1!$K$19+'Todos los Datos (2)'!S29*Hoja1!$K$20+'Todos los Datos (2)'!X29*Hoja1!$K$21+'Todos los Datos (2)'!AC29*Hoja1!$K$22+'Todos los Datos (2)'!AH29*Hoja1!$K$23+'Todos los Datos (2)'!AM29*Hoja1!$K$24</f>
        <v>235.42017621478388</v>
      </c>
      <c r="E29">
        <f>'Todos los Datos (2)'!E29*Hoja1!$K$17+'Todos los Datos (2)'!J29*Hoja1!$K$18+'Todos los Datos (2)'!O29*Hoja1!$K$19+'Todos los Datos (2)'!T29*Hoja1!$K$20+'Todos los Datos (2)'!Y29*Hoja1!$K$21+'Todos los Datos (2)'!AD29*Hoja1!$K$22+'Todos los Datos (2)'!AI29*Hoja1!$K$23+'Todos los Datos (2)'!AN29*Hoja1!$K$24</f>
        <v>240.37863027513251</v>
      </c>
      <c r="F29">
        <f>'Todos los Datos (2)'!F29*Hoja1!$K$17+'Todos los Datos (2)'!K29*Hoja1!$K$18+'Todos los Datos (2)'!P29*Hoja1!$K$19+'Todos los Datos (2)'!U29*Hoja1!$K$20+'Todos los Datos (2)'!Z29*Hoja1!$K$21+'Todos los Datos (2)'!AE29*Hoja1!$K$22+'Todos los Datos (2)'!AJ29*Hoja1!$K$23+'Todos los Datos (2)'!AO29*Hoja1!$K$24</f>
        <v>306.46178541835059</v>
      </c>
    </row>
    <row r="30" spans="1:6" x14ac:dyDescent="0.3">
      <c r="A30" s="1" t="s">
        <v>21</v>
      </c>
      <c r="B30">
        <f>'Todos los Datos (2)'!B30*Hoja1!$K$17+'Todos los Datos (2)'!G30*Hoja1!$K$18+'Todos los Datos (2)'!L30*Hoja1!$K$19+'Todos los Datos (2)'!Q30*Hoja1!$K$20+'Todos los Datos (2)'!V30*Hoja1!$K$21+'Todos los Datos (2)'!AA30*Hoja1!$K$22+'Todos los Datos (2)'!AF30*Hoja1!$K$23+'Todos los Datos (2)'!AK30*Hoja1!$K$24</f>
        <v>160.91710234394446</v>
      </c>
      <c r="C30">
        <f>'Todos los Datos (2)'!C30*Hoja1!$K$17+'Todos los Datos (2)'!H30*Hoja1!$K$18+'Todos los Datos (2)'!M30*Hoja1!$K$19+'Todos los Datos (2)'!R30*Hoja1!$K$20+'Todos los Datos (2)'!W30*Hoja1!$K$21+'Todos los Datos (2)'!AB30*Hoja1!$K$22+'Todos los Datos (2)'!AG30*Hoja1!$K$23+'Todos los Datos (2)'!AL30*Hoja1!$K$24</f>
        <v>238.00770069904462</v>
      </c>
      <c r="D30">
        <f>'Todos los Datos (2)'!D30*Hoja1!$K$17+'Todos los Datos (2)'!I30*Hoja1!$K$18+'Todos los Datos (2)'!N30*Hoja1!$K$19+'Todos los Datos (2)'!S30*Hoja1!$K$20+'Todos los Datos (2)'!X30*Hoja1!$K$21+'Todos los Datos (2)'!AC30*Hoja1!$K$22+'Todos los Datos (2)'!AH30*Hoja1!$K$23+'Todos los Datos (2)'!AM30*Hoja1!$K$24</f>
        <v>237.22299105368683</v>
      </c>
      <c r="E30">
        <f>'Todos los Datos (2)'!E30*Hoja1!$K$17+'Todos los Datos (2)'!J30*Hoja1!$K$18+'Todos los Datos (2)'!O30*Hoja1!$K$19+'Todos los Datos (2)'!T30*Hoja1!$K$20+'Todos los Datos (2)'!Y30*Hoja1!$K$21+'Todos los Datos (2)'!AD30*Hoja1!$K$22+'Todos los Datos (2)'!AI30*Hoja1!$K$23+'Todos los Datos (2)'!AN30*Hoja1!$K$24</f>
        <v>248.25861080600322</v>
      </c>
      <c r="F30">
        <f>'Todos los Datos (2)'!F30*Hoja1!$K$17+'Todos los Datos (2)'!K30*Hoja1!$K$18+'Todos los Datos (2)'!P30*Hoja1!$K$19+'Todos los Datos (2)'!U30*Hoja1!$K$20+'Todos los Datos (2)'!Z30*Hoja1!$K$21+'Todos los Datos (2)'!AE30*Hoja1!$K$22+'Todos los Datos (2)'!AJ30*Hoja1!$K$23+'Todos los Datos (2)'!AO30*Hoja1!$K$24</f>
        <v>296.47277741444009</v>
      </c>
    </row>
    <row r="31" spans="1:6" x14ac:dyDescent="0.3">
      <c r="A31" s="1" t="s">
        <v>46</v>
      </c>
      <c r="B31">
        <f>'Todos los Datos (2)'!B31*Hoja1!$K$17+'Todos los Datos (2)'!G31*Hoja1!$K$18+'Todos los Datos (2)'!L31*Hoja1!$K$19+'Todos los Datos (2)'!Q31*Hoja1!$K$20+'Todos los Datos (2)'!V31*Hoja1!$K$21+'Todos los Datos (2)'!AA31*Hoja1!$K$22+'Todos los Datos (2)'!AF31*Hoja1!$K$23+'Todos los Datos (2)'!AK31*Hoja1!$K$24</f>
        <v>173.18228835298521</v>
      </c>
      <c r="C31">
        <f>'Todos los Datos (2)'!C31*Hoja1!$K$17+'Todos los Datos (2)'!H31*Hoja1!$K$18+'Todos los Datos (2)'!M31*Hoja1!$K$19+'Todos los Datos (2)'!R31*Hoja1!$K$20+'Todos los Datos (2)'!W31*Hoja1!$K$21+'Todos los Datos (2)'!AB31*Hoja1!$K$22+'Todos los Datos (2)'!AG31*Hoja1!$K$23+'Todos los Datos (2)'!AL31*Hoja1!$K$24</f>
        <v>160.99143339662703</v>
      </c>
      <c r="D31">
        <f>'Todos los Datos (2)'!D31*Hoja1!$K$17+'Todos los Datos (2)'!I31*Hoja1!$K$18+'Todos los Datos (2)'!N31*Hoja1!$K$19+'Todos los Datos (2)'!S31*Hoja1!$K$20+'Todos los Datos (2)'!X31*Hoja1!$K$21+'Todos los Datos (2)'!AC31*Hoja1!$K$22+'Todos los Datos (2)'!AH31*Hoja1!$K$23+'Todos los Datos (2)'!AM31*Hoja1!$K$24</f>
        <v>192.04502637579364</v>
      </c>
      <c r="E31">
        <f>'Todos los Datos (2)'!E31*Hoja1!$K$17+'Todos los Datos (2)'!J31*Hoja1!$K$18+'Todos los Datos (2)'!O31*Hoja1!$K$19+'Todos los Datos (2)'!T31*Hoja1!$K$20+'Todos los Datos (2)'!Y31*Hoja1!$K$21+'Todos los Datos (2)'!AD31*Hoja1!$K$22+'Todos los Datos (2)'!AI31*Hoja1!$K$23+'Todos los Datos (2)'!AN31*Hoja1!$K$24</f>
        <v>205.46592021191117</v>
      </c>
      <c r="F31">
        <f>'Todos los Datos (2)'!F31*Hoja1!$K$17+'Todos los Datos (2)'!K31*Hoja1!$K$18+'Todos los Datos (2)'!P31*Hoja1!$K$19+'Todos los Datos (2)'!U31*Hoja1!$K$20+'Todos los Datos (2)'!Z31*Hoja1!$K$21+'Todos los Datos (2)'!AE31*Hoja1!$K$22+'Todos los Datos (2)'!AJ31*Hoja1!$K$23+'Todos los Datos (2)'!AO31*Hoja1!$K$24</f>
        <v>170.22447160643534</v>
      </c>
    </row>
    <row r="32" spans="1:6" x14ac:dyDescent="0.3">
      <c r="A32" s="1" t="s">
        <v>22</v>
      </c>
      <c r="B32">
        <f>'Todos los Datos (2)'!B32*Hoja1!$K$17+'Todos los Datos (2)'!G32*Hoja1!$K$18+'Todos los Datos (2)'!L32*Hoja1!$K$19+'Todos los Datos (2)'!Q32*Hoja1!$K$20+'Todos los Datos (2)'!V32*Hoja1!$K$21+'Todos los Datos (2)'!AA32*Hoja1!$K$22+'Todos los Datos (2)'!AF32*Hoja1!$K$23+'Todos los Datos (2)'!AK32*Hoja1!$K$24</f>
        <v>129.22506676167978</v>
      </c>
      <c r="C32">
        <f>'Todos los Datos (2)'!C32*Hoja1!$K$17+'Todos los Datos (2)'!H32*Hoja1!$K$18+'Todos los Datos (2)'!M32*Hoja1!$K$19+'Todos los Datos (2)'!R32*Hoja1!$K$20+'Todos los Datos (2)'!W32*Hoja1!$K$21+'Todos los Datos (2)'!AB32*Hoja1!$K$22+'Todos los Datos (2)'!AG32*Hoja1!$K$23+'Todos los Datos (2)'!AL32*Hoja1!$K$24</f>
        <v>155.9311490136831</v>
      </c>
      <c r="D32">
        <f>'Todos los Datos (2)'!D32*Hoja1!$K$17+'Todos los Datos (2)'!I32*Hoja1!$K$18+'Todos los Datos (2)'!N32*Hoja1!$K$19+'Todos los Datos (2)'!S32*Hoja1!$K$20+'Todos los Datos (2)'!X32*Hoja1!$K$21+'Todos los Datos (2)'!AC32*Hoja1!$K$22+'Todos los Datos (2)'!AH32*Hoja1!$K$23+'Todos los Datos (2)'!AM32*Hoja1!$K$24</f>
        <v>195.74581299542058</v>
      </c>
      <c r="E32">
        <f>'Todos los Datos (2)'!E32*Hoja1!$K$17+'Todos los Datos (2)'!J32*Hoja1!$K$18+'Todos los Datos (2)'!O32*Hoja1!$K$19+'Todos los Datos (2)'!T32*Hoja1!$K$20+'Todos los Datos (2)'!Y32*Hoja1!$K$21+'Todos los Datos (2)'!AD32*Hoja1!$K$22+'Todos los Datos (2)'!AI32*Hoja1!$K$23+'Todos los Datos (2)'!AN32*Hoja1!$K$24</f>
        <v>186.47388290722461</v>
      </c>
      <c r="F32">
        <f>'Todos los Datos (2)'!F32*Hoja1!$K$17+'Todos los Datos (2)'!K32*Hoja1!$K$18+'Todos los Datos (2)'!P32*Hoja1!$K$19+'Todos los Datos (2)'!U32*Hoja1!$K$20+'Todos los Datos (2)'!Z32*Hoja1!$K$21+'Todos los Datos (2)'!AE32*Hoja1!$K$22+'Todos los Datos (2)'!AJ32*Hoja1!$K$23+'Todos los Datos (2)'!AO32*Hoja1!$K$24</f>
        <v>252.93018292741394</v>
      </c>
    </row>
    <row r="33" spans="1:6" x14ac:dyDescent="0.3">
      <c r="A33" s="1" t="s">
        <v>23</v>
      </c>
      <c r="B33">
        <f>'Todos los Datos (2)'!B33*Hoja1!$K$17+'Todos los Datos (2)'!G33*Hoja1!$K$18+'Todos los Datos (2)'!L33*Hoja1!$K$19+'Todos los Datos (2)'!Q33*Hoja1!$K$20+'Todos los Datos (2)'!V33*Hoja1!$K$21+'Todos los Datos (2)'!AA33*Hoja1!$K$22+'Todos los Datos (2)'!AF33*Hoja1!$K$23+'Todos los Datos (2)'!AK33*Hoja1!$K$24</f>
        <v>184.26676590540018</v>
      </c>
      <c r="C33">
        <f>'Todos los Datos (2)'!C33*Hoja1!$K$17+'Todos los Datos (2)'!H33*Hoja1!$K$18+'Todos los Datos (2)'!M33*Hoja1!$K$19+'Todos los Datos (2)'!R33*Hoja1!$K$20+'Todos los Datos (2)'!W33*Hoja1!$K$21+'Todos los Datos (2)'!AB33*Hoja1!$K$22+'Todos los Datos (2)'!AG33*Hoja1!$K$23+'Todos los Datos (2)'!AL33*Hoja1!$K$24</f>
        <v>216.27046763823199</v>
      </c>
      <c r="D33">
        <f>'Todos los Datos (2)'!D33*Hoja1!$K$17+'Todos los Datos (2)'!I33*Hoja1!$K$18+'Todos los Datos (2)'!N33*Hoja1!$K$19+'Todos los Datos (2)'!S33*Hoja1!$K$20+'Todos los Datos (2)'!X33*Hoja1!$K$21+'Todos los Datos (2)'!AC33*Hoja1!$K$22+'Todos los Datos (2)'!AH33*Hoja1!$K$23+'Todos los Datos (2)'!AM33*Hoja1!$K$24</f>
        <v>217.24346956374458</v>
      </c>
      <c r="E33">
        <f>'Todos los Datos (2)'!E33*Hoja1!$K$17+'Todos los Datos (2)'!J33*Hoja1!$K$18+'Todos los Datos (2)'!O33*Hoja1!$K$19+'Todos los Datos (2)'!T33*Hoja1!$K$20+'Todos los Datos (2)'!Y33*Hoja1!$K$21+'Todos los Datos (2)'!AD33*Hoja1!$K$22+'Todos los Datos (2)'!AI33*Hoja1!$K$23+'Todos los Datos (2)'!AN33*Hoja1!$K$24</f>
        <v>328.07077245603688</v>
      </c>
      <c r="F33">
        <f>'Todos los Datos (2)'!F33*Hoja1!$K$17+'Todos los Datos (2)'!K33*Hoja1!$K$18+'Todos los Datos (2)'!P33*Hoja1!$K$19+'Todos los Datos (2)'!U33*Hoja1!$K$20+'Todos los Datos (2)'!Z33*Hoja1!$K$21+'Todos los Datos (2)'!AE33*Hoja1!$K$22+'Todos los Datos (2)'!AJ33*Hoja1!$K$23+'Todos los Datos (2)'!AO33*Hoja1!$K$24</f>
        <v>239.11109421809564</v>
      </c>
    </row>
    <row r="34" spans="1:6" x14ac:dyDescent="0.3">
      <c r="A34" s="1" t="s">
        <v>24</v>
      </c>
      <c r="B34">
        <f>'Todos los Datos (2)'!B34*Hoja1!$K$17+'Todos los Datos (2)'!G34*Hoja1!$K$18+'Todos los Datos (2)'!L34*Hoja1!$K$19+'Todos los Datos (2)'!Q34*Hoja1!$K$20+'Todos los Datos (2)'!V34*Hoja1!$K$21+'Todos los Datos (2)'!AA34*Hoja1!$K$22+'Todos los Datos (2)'!AF34*Hoja1!$K$23+'Todos los Datos (2)'!AK34*Hoja1!$K$24</f>
        <v>163.70013126074969</v>
      </c>
      <c r="C34">
        <f>'Todos los Datos (2)'!C34*Hoja1!$K$17+'Todos los Datos (2)'!H34*Hoja1!$K$18+'Todos los Datos (2)'!M34*Hoja1!$K$19+'Todos los Datos (2)'!R34*Hoja1!$K$20+'Todos los Datos (2)'!W34*Hoja1!$K$21+'Todos los Datos (2)'!AB34*Hoja1!$K$22+'Todos los Datos (2)'!AG34*Hoja1!$K$23+'Todos los Datos (2)'!AL34*Hoja1!$K$24</f>
        <v>174.97022090532462</v>
      </c>
      <c r="D34">
        <f>'Todos los Datos (2)'!D34*Hoja1!$K$17+'Todos los Datos (2)'!I34*Hoja1!$K$18+'Todos los Datos (2)'!N34*Hoja1!$K$19+'Todos los Datos (2)'!S34*Hoja1!$K$20+'Todos los Datos (2)'!X34*Hoja1!$K$21+'Todos los Datos (2)'!AC34*Hoja1!$K$22+'Todos los Datos (2)'!AH34*Hoja1!$K$23+'Todos los Datos (2)'!AM34*Hoja1!$K$24</f>
        <v>237.99152614458228</v>
      </c>
      <c r="E34">
        <f>'Todos los Datos (2)'!E34*Hoja1!$K$17+'Todos los Datos (2)'!J34*Hoja1!$K$18+'Todos los Datos (2)'!O34*Hoja1!$K$19+'Todos los Datos (2)'!T34*Hoja1!$K$20+'Todos los Datos (2)'!Y34*Hoja1!$K$21+'Todos los Datos (2)'!AD34*Hoja1!$K$22+'Todos los Datos (2)'!AI34*Hoja1!$K$23+'Todos los Datos (2)'!AN34*Hoja1!$K$24</f>
        <v>240.18131144721013</v>
      </c>
      <c r="F34">
        <f>'Todos los Datos (2)'!F34*Hoja1!$K$17+'Todos los Datos (2)'!K34*Hoja1!$K$18+'Todos los Datos (2)'!P34*Hoja1!$K$19+'Todos los Datos (2)'!U34*Hoja1!$K$20+'Todos los Datos (2)'!Z34*Hoja1!$K$21+'Todos los Datos (2)'!AE34*Hoja1!$K$22+'Todos los Datos (2)'!AJ34*Hoja1!$K$23+'Todos los Datos (2)'!AO34*Hoja1!$K$24</f>
        <v>246.55714155441544</v>
      </c>
    </row>
    <row r="35" spans="1:6" x14ac:dyDescent="0.3">
      <c r="A35" s="1" t="s">
        <v>25</v>
      </c>
      <c r="B35">
        <f>'Todos los Datos (2)'!B35*Hoja1!$K$17+'Todos los Datos (2)'!G35*Hoja1!$K$18+'Todos los Datos (2)'!L35*Hoja1!$K$19+'Todos los Datos (2)'!Q35*Hoja1!$K$20+'Todos los Datos (2)'!V35*Hoja1!$K$21+'Todos los Datos (2)'!AA35*Hoja1!$K$22+'Todos los Datos (2)'!AF35*Hoja1!$K$23+'Todos los Datos (2)'!AK35*Hoja1!$K$24</f>
        <v>54.647894189555451</v>
      </c>
      <c r="C35">
        <f>'Todos los Datos (2)'!C35*Hoja1!$K$17+'Todos los Datos (2)'!H35*Hoja1!$K$18+'Todos los Datos (2)'!M35*Hoja1!$K$19+'Todos los Datos (2)'!R35*Hoja1!$K$20+'Todos los Datos (2)'!W35*Hoja1!$K$21+'Todos los Datos (2)'!AB35*Hoja1!$K$22+'Todos los Datos (2)'!AG35*Hoja1!$K$23+'Todos los Datos (2)'!AL35*Hoja1!$K$24</f>
        <v>99.1574024092983</v>
      </c>
      <c r="D35">
        <f>'Todos los Datos (2)'!D35*Hoja1!$K$17+'Todos los Datos (2)'!I35*Hoja1!$K$18+'Todos los Datos (2)'!N35*Hoja1!$K$19+'Todos los Datos (2)'!S35*Hoja1!$K$20+'Todos los Datos (2)'!X35*Hoja1!$K$21+'Todos los Datos (2)'!AC35*Hoja1!$K$22+'Todos los Datos (2)'!AH35*Hoja1!$K$23+'Todos los Datos (2)'!AM35*Hoja1!$K$24</f>
        <v>74.732107798348977</v>
      </c>
      <c r="E35">
        <f>'Todos los Datos (2)'!E35*Hoja1!$K$17+'Todos los Datos (2)'!J35*Hoja1!$K$18+'Todos los Datos (2)'!O35*Hoja1!$K$19+'Todos los Datos (2)'!T35*Hoja1!$K$20+'Todos los Datos (2)'!Y35*Hoja1!$K$21+'Todos los Datos (2)'!AD35*Hoja1!$K$22+'Todos los Datos (2)'!AI35*Hoja1!$K$23+'Todos los Datos (2)'!AN35*Hoja1!$K$24</f>
        <v>89.829782943621552</v>
      </c>
      <c r="F35">
        <f>'Todos los Datos (2)'!F35*Hoja1!$K$17+'Todos los Datos (2)'!K35*Hoja1!$K$18+'Todos los Datos (2)'!P35*Hoja1!$K$19+'Todos los Datos (2)'!U35*Hoja1!$K$20+'Todos los Datos (2)'!Z35*Hoja1!$K$21+'Todos los Datos (2)'!AE35*Hoja1!$K$22+'Todos los Datos (2)'!AJ35*Hoja1!$K$23+'Todos los Datos (2)'!AO35*Hoja1!$K$24</f>
        <v>57.54354463923012</v>
      </c>
    </row>
    <row r="36" spans="1:6" x14ac:dyDescent="0.3">
      <c r="A36" s="1" t="s">
        <v>26</v>
      </c>
      <c r="B36">
        <f>'Todos los Datos (2)'!B36*Hoja1!$K$17+'Todos los Datos (2)'!G36*Hoja1!$K$18+'Todos los Datos (2)'!L36*Hoja1!$K$19+'Todos los Datos (2)'!Q36*Hoja1!$K$20+'Todos los Datos (2)'!V36*Hoja1!$K$21+'Todos los Datos (2)'!AA36*Hoja1!$K$22+'Todos los Datos (2)'!AF36*Hoja1!$K$23+'Todos los Datos (2)'!AK36*Hoja1!$K$24</f>
        <v>117.34553762951518</v>
      </c>
      <c r="C36">
        <f>'Todos los Datos (2)'!C36*Hoja1!$K$17+'Todos los Datos (2)'!H36*Hoja1!$K$18+'Todos los Datos (2)'!M36*Hoja1!$K$19+'Todos los Datos (2)'!R36*Hoja1!$K$20+'Todos los Datos (2)'!W36*Hoja1!$K$21+'Todos los Datos (2)'!AB36*Hoja1!$K$22+'Todos los Datos (2)'!AG36*Hoja1!$K$23+'Todos los Datos (2)'!AL36*Hoja1!$K$24</f>
        <v>95.000064913468165</v>
      </c>
      <c r="D36">
        <f>'Todos los Datos (2)'!D36*Hoja1!$K$17+'Todos los Datos (2)'!I36*Hoja1!$K$18+'Todos los Datos (2)'!N36*Hoja1!$K$19+'Todos los Datos (2)'!S36*Hoja1!$K$20+'Todos los Datos (2)'!X36*Hoja1!$K$21+'Todos los Datos (2)'!AC36*Hoja1!$K$22+'Todos los Datos (2)'!AH36*Hoja1!$K$23+'Todos los Datos (2)'!AM36*Hoja1!$K$24</f>
        <v>130.82397086115856</v>
      </c>
      <c r="E36">
        <f>'Todos los Datos (2)'!E36*Hoja1!$K$17+'Todos los Datos (2)'!J36*Hoja1!$K$18+'Todos los Datos (2)'!O36*Hoja1!$K$19+'Todos los Datos (2)'!T36*Hoja1!$K$20+'Todos los Datos (2)'!Y36*Hoja1!$K$21+'Todos los Datos (2)'!AD36*Hoja1!$K$22+'Todos los Datos (2)'!AI36*Hoja1!$K$23+'Todos los Datos (2)'!AN36*Hoja1!$K$24</f>
        <v>94.107432844908487</v>
      </c>
      <c r="F36">
        <f>'Todos los Datos (2)'!F36*Hoja1!$K$17+'Todos los Datos (2)'!K36*Hoja1!$K$18+'Todos los Datos (2)'!P36*Hoja1!$K$19+'Todos los Datos (2)'!U36*Hoja1!$K$20+'Todos los Datos (2)'!Z36*Hoja1!$K$21+'Todos los Datos (2)'!AE36*Hoja1!$K$22+'Todos los Datos (2)'!AJ36*Hoja1!$K$23+'Todos los Datos (2)'!AO36*Hoja1!$K$24</f>
        <v>133.69742780220631</v>
      </c>
    </row>
    <row r="37" spans="1:6" x14ac:dyDescent="0.3">
      <c r="A37" s="1" t="s">
        <v>47</v>
      </c>
      <c r="B37">
        <f>'Todos los Datos (2)'!B37*Hoja1!$K$17+'Todos los Datos (2)'!G37*Hoja1!$K$18+'Todos los Datos (2)'!L37*Hoja1!$K$19+'Todos los Datos (2)'!Q37*Hoja1!$K$20+'Todos los Datos (2)'!V37*Hoja1!$K$21+'Todos los Datos (2)'!AA37*Hoja1!$K$22+'Todos los Datos (2)'!AF37*Hoja1!$K$23+'Todos los Datos (2)'!AK37*Hoja1!$K$24</f>
        <v>194.0816698056887</v>
      </c>
      <c r="C37">
        <f>'Todos los Datos (2)'!C37*Hoja1!$K$17+'Todos los Datos (2)'!H37*Hoja1!$K$18+'Todos los Datos (2)'!M37*Hoja1!$K$19+'Todos los Datos (2)'!R37*Hoja1!$K$20+'Todos los Datos (2)'!W37*Hoja1!$K$21+'Todos los Datos (2)'!AB37*Hoja1!$K$22+'Todos los Datos (2)'!AG37*Hoja1!$K$23+'Todos los Datos (2)'!AL37*Hoja1!$K$24</f>
        <v>252.71156229471939</v>
      </c>
      <c r="D37">
        <f>'Todos los Datos (2)'!D37*Hoja1!$K$17+'Todos los Datos (2)'!I37*Hoja1!$K$18+'Todos los Datos (2)'!N37*Hoja1!$K$19+'Todos los Datos (2)'!S37*Hoja1!$K$20+'Todos los Datos (2)'!X37*Hoja1!$K$21+'Todos los Datos (2)'!AC37*Hoja1!$K$22+'Todos los Datos (2)'!AH37*Hoja1!$K$23+'Todos los Datos (2)'!AM37*Hoja1!$K$24</f>
        <v>292.22211365918838</v>
      </c>
      <c r="E37">
        <f>'Todos los Datos (2)'!E37*Hoja1!$K$17+'Todos los Datos (2)'!J37*Hoja1!$K$18+'Todos los Datos (2)'!O37*Hoja1!$K$19+'Todos los Datos (2)'!T37*Hoja1!$K$20+'Todos los Datos (2)'!Y37*Hoja1!$K$21+'Todos los Datos (2)'!AD37*Hoja1!$K$22+'Todos los Datos (2)'!AI37*Hoja1!$K$23+'Todos los Datos (2)'!AN37*Hoja1!$K$24</f>
        <v>315.70361537971871</v>
      </c>
      <c r="F37">
        <f>'Todos los Datos (2)'!F37*Hoja1!$K$17+'Todos los Datos (2)'!K37*Hoja1!$K$18+'Todos los Datos (2)'!P37*Hoja1!$K$19+'Todos los Datos (2)'!U37*Hoja1!$K$20+'Todos los Datos (2)'!Z37*Hoja1!$K$21+'Todos los Datos (2)'!AE37*Hoja1!$K$22+'Todos los Datos (2)'!AJ37*Hoja1!$K$23+'Todos los Datos (2)'!AO37*Hoja1!$K$24</f>
        <v>290.40090339430333</v>
      </c>
    </row>
    <row r="38" spans="1:6" x14ac:dyDescent="0.3">
      <c r="A38" s="1" t="s">
        <v>27</v>
      </c>
      <c r="B38">
        <f>'Todos los Datos (2)'!B38*Hoja1!$K$17+'Todos los Datos (2)'!G38*Hoja1!$K$18+'Todos los Datos (2)'!L38*Hoja1!$K$19+'Todos los Datos (2)'!Q38*Hoja1!$K$20+'Todos los Datos (2)'!V38*Hoja1!$K$21+'Todos los Datos (2)'!AA38*Hoja1!$K$22+'Todos los Datos (2)'!AF38*Hoja1!$K$23+'Todos los Datos (2)'!AK38*Hoja1!$K$24</f>
        <v>103.64224576985632</v>
      </c>
      <c r="C38">
        <f>'Todos los Datos (2)'!C38*Hoja1!$K$17+'Todos los Datos (2)'!H38*Hoja1!$K$18+'Todos los Datos (2)'!M38*Hoja1!$K$19+'Todos los Datos (2)'!R38*Hoja1!$K$20+'Todos los Datos (2)'!W38*Hoja1!$K$21+'Todos los Datos (2)'!AB38*Hoja1!$K$22+'Todos los Datos (2)'!AG38*Hoja1!$K$23+'Todos los Datos (2)'!AL38*Hoja1!$K$24</f>
        <v>127.95155955608895</v>
      </c>
      <c r="D38">
        <f>'Todos los Datos (2)'!D38*Hoja1!$K$17+'Todos los Datos (2)'!I38*Hoja1!$K$18+'Todos los Datos (2)'!N38*Hoja1!$K$19+'Todos los Datos (2)'!S38*Hoja1!$K$20+'Todos los Datos (2)'!X38*Hoja1!$K$21+'Todos los Datos (2)'!AC38*Hoja1!$K$22+'Todos los Datos (2)'!AH38*Hoja1!$K$23+'Todos los Datos (2)'!AM38*Hoja1!$K$24</f>
        <v>128.31372113553974</v>
      </c>
      <c r="E38">
        <f>'Todos los Datos (2)'!E38*Hoja1!$K$17+'Todos los Datos (2)'!J38*Hoja1!$K$18+'Todos los Datos (2)'!O38*Hoja1!$K$19+'Todos los Datos (2)'!T38*Hoja1!$K$20+'Todos los Datos (2)'!Y38*Hoja1!$K$21+'Todos los Datos (2)'!AD38*Hoja1!$K$22+'Todos los Datos (2)'!AI38*Hoja1!$K$23+'Todos los Datos (2)'!AN38*Hoja1!$K$24</f>
        <v>99.835723789980847</v>
      </c>
      <c r="F38">
        <f>'Todos los Datos (2)'!F38*Hoja1!$K$17+'Todos los Datos (2)'!K38*Hoja1!$K$18+'Todos los Datos (2)'!P38*Hoja1!$K$19+'Todos los Datos (2)'!U38*Hoja1!$K$20+'Todos los Datos (2)'!Z38*Hoja1!$K$21+'Todos los Datos (2)'!AE38*Hoja1!$K$22+'Todos los Datos (2)'!AJ38*Hoja1!$K$23+'Todos los Datos (2)'!AO38*Hoja1!$K$24</f>
        <v>108.91319539876106</v>
      </c>
    </row>
    <row r="39" spans="1:6" x14ac:dyDescent="0.3">
      <c r="A39" s="1" t="s">
        <v>28</v>
      </c>
      <c r="B39">
        <f>'Todos los Datos (2)'!B39*Hoja1!$K$17+'Todos los Datos (2)'!G39*Hoja1!$K$18+'Todos los Datos (2)'!L39*Hoja1!$K$19+'Todos los Datos (2)'!Q39*Hoja1!$K$20+'Todos los Datos (2)'!V39*Hoja1!$K$21+'Todos los Datos (2)'!AA39*Hoja1!$K$22+'Todos los Datos (2)'!AF39*Hoja1!$K$23+'Todos los Datos (2)'!AK39*Hoja1!$K$24</f>
        <v>97.288158327412745</v>
      </c>
      <c r="C39">
        <f>'Todos los Datos (2)'!C39*Hoja1!$K$17+'Todos los Datos (2)'!H39*Hoja1!$K$18+'Todos los Datos (2)'!M39*Hoja1!$K$19+'Todos los Datos (2)'!R39*Hoja1!$K$20+'Todos los Datos (2)'!W39*Hoja1!$K$21+'Todos los Datos (2)'!AB39*Hoja1!$K$22+'Todos los Datos (2)'!AG39*Hoja1!$K$23+'Todos los Datos (2)'!AL39*Hoja1!$K$24</f>
        <v>105.60458915135936</v>
      </c>
      <c r="D39">
        <f>'Todos los Datos (2)'!D39*Hoja1!$K$17+'Todos los Datos (2)'!I39*Hoja1!$K$18+'Todos los Datos (2)'!N39*Hoja1!$K$19+'Todos los Datos (2)'!S39*Hoja1!$K$20+'Todos los Datos (2)'!X39*Hoja1!$K$21+'Todos los Datos (2)'!AC39*Hoja1!$K$22+'Todos los Datos (2)'!AH39*Hoja1!$K$23+'Todos los Datos (2)'!AM39*Hoja1!$K$24</f>
        <v>117.5394414060633</v>
      </c>
      <c r="E39">
        <f>'Todos los Datos (2)'!E39*Hoja1!$K$17+'Todos los Datos (2)'!J39*Hoja1!$K$18+'Todos los Datos (2)'!O39*Hoja1!$K$19+'Todos los Datos (2)'!T39*Hoja1!$K$20+'Todos los Datos (2)'!Y39*Hoja1!$K$21+'Todos los Datos (2)'!AD39*Hoja1!$K$22+'Todos los Datos (2)'!AI39*Hoja1!$K$23+'Todos los Datos (2)'!AN39*Hoja1!$K$24</f>
        <v>152.92718030908765</v>
      </c>
      <c r="F39">
        <f>'Todos los Datos (2)'!F39*Hoja1!$K$17+'Todos los Datos (2)'!K39*Hoja1!$K$18+'Todos los Datos (2)'!P39*Hoja1!$K$19+'Todos los Datos (2)'!U39*Hoja1!$K$20+'Todos los Datos (2)'!Z39*Hoja1!$K$21+'Todos los Datos (2)'!AE39*Hoja1!$K$22+'Todos los Datos (2)'!AJ39*Hoja1!$K$23+'Todos los Datos (2)'!AO39*Hoja1!$K$24</f>
        <v>130.83316339011273</v>
      </c>
    </row>
    <row r="40" spans="1:6" x14ac:dyDescent="0.3">
      <c r="A40" s="1" t="s">
        <v>29</v>
      </c>
      <c r="B40">
        <f>'Todos los Datos (2)'!B40*Hoja1!$K$17+'Todos los Datos (2)'!G40*Hoja1!$K$18+'Todos los Datos (2)'!L40*Hoja1!$K$19+'Todos los Datos (2)'!Q40*Hoja1!$K$20+'Todos los Datos (2)'!V40*Hoja1!$K$21+'Todos los Datos (2)'!AA40*Hoja1!$K$22+'Todos los Datos (2)'!AF40*Hoja1!$K$23+'Todos los Datos (2)'!AK40*Hoja1!$K$24</f>
        <v>133.92784059794457</v>
      </c>
      <c r="C40">
        <f>'Todos los Datos (2)'!C40*Hoja1!$K$17+'Todos los Datos (2)'!H40*Hoja1!$K$18+'Todos los Datos (2)'!M40*Hoja1!$K$19+'Todos los Datos (2)'!R40*Hoja1!$K$20+'Todos los Datos (2)'!W40*Hoja1!$K$21+'Todos los Datos (2)'!AB40*Hoja1!$K$22+'Todos los Datos (2)'!AG40*Hoja1!$K$23+'Todos los Datos (2)'!AL40*Hoja1!$K$24</f>
        <v>199.80223708680217</v>
      </c>
      <c r="D40">
        <f>'Todos los Datos (2)'!D40*Hoja1!$K$17+'Todos los Datos (2)'!I40*Hoja1!$K$18+'Todos los Datos (2)'!N40*Hoja1!$K$19+'Todos los Datos (2)'!S40*Hoja1!$K$20+'Todos los Datos (2)'!X40*Hoja1!$K$21+'Todos los Datos (2)'!AC40*Hoja1!$K$22+'Todos los Datos (2)'!AH40*Hoja1!$K$23+'Todos los Datos (2)'!AM40*Hoja1!$K$24</f>
        <v>188.35492445296035</v>
      </c>
      <c r="E40">
        <f>'Todos los Datos (2)'!E40*Hoja1!$K$17+'Todos los Datos (2)'!J40*Hoja1!$K$18+'Todos los Datos (2)'!O40*Hoja1!$K$19+'Todos los Datos (2)'!T40*Hoja1!$K$20+'Todos los Datos (2)'!Y40*Hoja1!$K$21+'Todos los Datos (2)'!AD40*Hoja1!$K$22+'Todos los Datos (2)'!AI40*Hoja1!$K$23+'Todos los Datos (2)'!AN40*Hoja1!$K$24</f>
        <v>132.88182259653601</v>
      </c>
      <c r="F40">
        <f>'Todos los Datos (2)'!F40*Hoja1!$K$17+'Todos los Datos (2)'!K40*Hoja1!$K$18+'Todos los Datos (2)'!P40*Hoja1!$K$19+'Todos los Datos (2)'!U40*Hoja1!$K$20+'Todos los Datos (2)'!Z40*Hoja1!$K$21+'Todos los Datos (2)'!AE40*Hoja1!$K$22+'Todos los Datos (2)'!AJ40*Hoja1!$K$23+'Todos los Datos (2)'!AO40*Hoja1!$K$24</f>
        <v>225.77606735261327</v>
      </c>
    </row>
    <row r="41" spans="1:6" x14ac:dyDescent="0.3">
      <c r="A41" s="1" t="s">
        <v>30</v>
      </c>
      <c r="B41">
        <f>'Todos los Datos (2)'!B41*Hoja1!$K$17+'Todos los Datos (2)'!G41*Hoja1!$K$18+'Todos los Datos (2)'!L41*Hoja1!$K$19+'Todos los Datos (2)'!Q41*Hoja1!$K$20+'Todos los Datos (2)'!V41*Hoja1!$K$21+'Todos los Datos (2)'!AA41*Hoja1!$K$22+'Todos los Datos (2)'!AF41*Hoja1!$K$23+'Todos los Datos (2)'!AK41*Hoja1!$K$24</f>
        <v>174.51857164501985</v>
      </c>
      <c r="C41">
        <f>'Todos los Datos (2)'!C41*Hoja1!$K$17+'Todos los Datos (2)'!H41*Hoja1!$K$18+'Todos los Datos (2)'!M41*Hoja1!$K$19+'Todos los Datos (2)'!R41*Hoja1!$K$20+'Todos los Datos (2)'!W41*Hoja1!$K$21+'Todos los Datos (2)'!AB41*Hoja1!$K$22+'Todos los Datos (2)'!AG41*Hoja1!$K$23+'Todos los Datos (2)'!AL41*Hoja1!$K$24</f>
        <v>204.31397897566927</v>
      </c>
      <c r="D41">
        <f>'Todos los Datos (2)'!D41*Hoja1!$K$17+'Todos los Datos (2)'!I41*Hoja1!$K$18+'Todos los Datos (2)'!N41*Hoja1!$K$19+'Todos los Datos (2)'!S41*Hoja1!$K$20+'Todos los Datos (2)'!X41*Hoja1!$K$21+'Todos los Datos (2)'!AC41*Hoja1!$K$22+'Todos los Datos (2)'!AH41*Hoja1!$K$23+'Todos los Datos (2)'!AM41*Hoja1!$K$24</f>
        <v>303.08178124401667</v>
      </c>
      <c r="E41">
        <f>'Todos los Datos (2)'!E41*Hoja1!$K$17+'Todos los Datos (2)'!J41*Hoja1!$K$18+'Todos los Datos (2)'!O41*Hoja1!$K$19+'Todos los Datos (2)'!T41*Hoja1!$K$20+'Todos los Datos (2)'!Y41*Hoja1!$K$21+'Todos los Datos (2)'!AD41*Hoja1!$K$22+'Todos los Datos (2)'!AI41*Hoja1!$K$23+'Todos los Datos (2)'!AN41*Hoja1!$K$24</f>
        <v>268.4346697232844</v>
      </c>
      <c r="F41">
        <f>'Todos los Datos (2)'!F41*Hoja1!$K$17+'Todos los Datos (2)'!K41*Hoja1!$K$18+'Todos los Datos (2)'!P41*Hoja1!$K$19+'Todos los Datos (2)'!U41*Hoja1!$K$20+'Todos los Datos (2)'!Z41*Hoja1!$K$21+'Todos los Datos (2)'!AE41*Hoja1!$K$22+'Todos los Datos (2)'!AJ41*Hoja1!$K$23+'Todos los Datos (2)'!AO41*Hoja1!$K$24</f>
        <v>282.13688695381438</v>
      </c>
    </row>
    <row r="42" spans="1:6" x14ac:dyDescent="0.3">
      <c r="A42" s="1" t="s">
        <v>31</v>
      </c>
      <c r="B42">
        <f>'Todos los Datos (2)'!B42*Hoja1!$K$17+'Todos los Datos (2)'!G42*Hoja1!$K$18+'Todos los Datos (2)'!L42*Hoja1!$K$19+'Todos los Datos (2)'!Q42*Hoja1!$K$20+'Todos los Datos (2)'!V42*Hoja1!$K$21+'Todos los Datos (2)'!AA42*Hoja1!$K$22+'Todos los Datos (2)'!AF42*Hoja1!$K$23+'Todos los Datos (2)'!AK42*Hoja1!$K$24</f>
        <v>379.21232942146986</v>
      </c>
      <c r="C42">
        <f>'Todos los Datos (2)'!C42*Hoja1!$K$17+'Todos los Datos (2)'!H42*Hoja1!$K$18+'Todos los Datos (2)'!M42*Hoja1!$K$19+'Todos los Datos (2)'!R42*Hoja1!$K$20+'Todos los Datos (2)'!W42*Hoja1!$K$21+'Todos los Datos (2)'!AB42*Hoja1!$K$22+'Todos los Datos (2)'!AG42*Hoja1!$K$23+'Todos los Datos (2)'!AL42*Hoja1!$K$24</f>
        <v>506.11794721101853</v>
      </c>
      <c r="D42">
        <f>'Todos los Datos (2)'!D42*Hoja1!$K$17+'Todos los Datos (2)'!I42*Hoja1!$K$18+'Todos los Datos (2)'!N42*Hoja1!$K$19+'Todos los Datos (2)'!S42*Hoja1!$K$20+'Todos los Datos (2)'!X42*Hoja1!$K$21+'Todos los Datos (2)'!AC42*Hoja1!$K$22+'Todos los Datos (2)'!AH42*Hoja1!$K$23+'Todos los Datos (2)'!AM42*Hoja1!$K$24</f>
        <v>543.11668810882713</v>
      </c>
      <c r="E42">
        <f>'Todos los Datos (2)'!E42*Hoja1!$K$17+'Todos los Datos (2)'!J42*Hoja1!$K$18+'Todos los Datos (2)'!O42*Hoja1!$K$19+'Todos los Datos (2)'!T42*Hoja1!$K$20+'Todos los Datos (2)'!Y42*Hoja1!$K$21+'Todos los Datos (2)'!AD42*Hoja1!$K$22+'Todos los Datos (2)'!AI42*Hoja1!$K$23+'Todos los Datos (2)'!AN42*Hoja1!$K$24</f>
        <v>494.29807356057415</v>
      </c>
      <c r="F42">
        <f>'Todos los Datos (2)'!F42*Hoja1!$K$17+'Todos los Datos (2)'!K42*Hoja1!$K$18+'Todos los Datos (2)'!P42*Hoja1!$K$19+'Todos los Datos (2)'!U42*Hoja1!$K$20+'Todos los Datos (2)'!Z42*Hoja1!$K$21+'Todos los Datos (2)'!AE42*Hoja1!$K$22+'Todos los Datos (2)'!AJ42*Hoja1!$K$23+'Todos los Datos (2)'!AO42*Hoja1!$K$24</f>
        <v>577.75132754166998</v>
      </c>
    </row>
    <row r="43" spans="1:6" x14ac:dyDescent="0.3">
      <c r="A43" s="1" t="s">
        <v>32</v>
      </c>
      <c r="B43">
        <f>'Todos los Datos (2)'!B43*Hoja1!$K$17+'Todos los Datos (2)'!G43*Hoja1!$K$18+'Todos los Datos (2)'!L43*Hoja1!$K$19+'Todos los Datos (2)'!Q43*Hoja1!$K$20+'Todos los Datos (2)'!V43*Hoja1!$K$21+'Todos los Datos (2)'!AA43*Hoja1!$K$22+'Todos los Datos (2)'!AF43*Hoja1!$K$23+'Todos los Datos (2)'!AK43*Hoja1!$K$24</f>
        <v>162.6465936178914</v>
      </c>
      <c r="C43">
        <f>'Todos los Datos (2)'!C43*Hoja1!$K$17+'Todos los Datos (2)'!H43*Hoja1!$K$18+'Todos los Datos (2)'!M43*Hoja1!$K$19+'Todos los Datos (2)'!R43*Hoja1!$K$20+'Todos los Datos (2)'!W43*Hoja1!$K$21+'Todos los Datos (2)'!AB43*Hoja1!$K$22+'Todos los Datos (2)'!AG43*Hoja1!$K$23+'Todos los Datos (2)'!AL43*Hoja1!$K$24</f>
        <v>236.15169761161394</v>
      </c>
      <c r="D43">
        <f>'Todos los Datos (2)'!D43*Hoja1!$K$17+'Todos los Datos (2)'!I43*Hoja1!$K$18+'Todos los Datos (2)'!N43*Hoja1!$K$19+'Todos los Datos (2)'!S43*Hoja1!$K$20+'Todos los Datos (2)'!X43*Hoja1!$K$21+'Todos los Datos (2)'!AC43*Hoja1!$K$22+'Todos los Datos (2)'!AH43*Hoja1!$K$23+'Todos los Datos (2)'!AM43*Hoja1!$K$24</f>
        <v>233.24642324154709</v>
      </c>
      <c r="E43">
        <f>'Todos los Datos (2)'!E43*Hoja1!$K$17+'Todos los Datos (2)'!J43*Hoja1!$K$18+'Todos los Datos (2)'!O43*Hoja1!$K$19+'Todos los Datos (2)'!T43*Hoja1!$K$20+'Todos los Datos (2)'!Y43*Hoja1!$K$21+'Todos los Datos (2)'!AD43*Hoja1!$K$22+'Todos los Datos (2)'!AI43*Hoja1!$K$23+'Todos los Datos (2)'!AN43*Hoja1!$K$24</f>
        <v>201.8797324160945</v>
      </c>
      <c r="F43">
        <f>'Todos los Datos (2)'!F43*Hoja1!$K$17+'Todos los Datos (2)'!K43*Hoja1!$K$18+'Todos los Datos (2)'!P43*Hoja1!$K$19+'Todos los Datos (2)'!U43*Hoja1!$K$20+'Todos los Datos (2)'!Z43*Hoja1!$K$21+'Todos los Datos (2)'!AE43*Hoja1!$K$22+'Todos los Datos (2)'!AJ43*Hoja1!$K$23+'Todos los Datos (2)'!AO43*Hoja1!$K$24</f>
        <v>214.50257306588048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BDFF-1DF8-4C6F-B718-8D978C4D0786}">
  <dimension ref="A1:R46"/>
  <sheetViews>
    <sheetView tabSelected="1" topLeftCell="G30" zoomScale="64" workbookViewId="0">
      <selection activeCell="M30" sqref="M30"/>
    </sheetView>
  </sheetViews>
  <sheetFormatPr baseColWidth="10" defaultRowHeight="14.4" x14ac:dyDescent="0.3"/>
  <cols>
    <col min="1" max="1" width="15.21875" bestFit="1" customWidth="1"/>
    <col min="4" max="4" width="12.44140625" bestFit="1" customWidth="1"/>
  </cols>
  <sheetData>
    <row r="1" spans="1:18" x14ac:dyDescent="0.3">
      <c r="A1" s="22" t="s">
        <v>117</v>
      </c>
      <c r="B1" s="23"/>
      <c r="C1" s="23"/>
      <c r="D1" s="23"/>
      <c r="E1" s="23"/>
      <c r="F1" s="23"/>
      <c r="G1" s="23"/>
      <c r="H1" s="24"/>
    </row>
    <row r="2" spans="1:18" x14ac:dyDescent="0.3">
      <c r="A2" s="15"/>
      <c r="B2" s="14" t="s">
        <v>97</v>
      </c>
      <c r="C2" s="14" t="s">
        <v>115</v>
      </c>
      <c r="D2" s="14" t="s">
        <v>114</v>
      </c>
      <c r="E2" s="14" t="s">
        <v>113</v>
      </c>
      <c r="F2" s="14" t="s">
        <v>98</v>
      </c>
      <c r="G2" s="14" t="s">
        <v>99</v>
      </c>
      <c r="H2" s="25" t="s">
        <v>100</v>
      </c>
    </row>
    <row r="3" spans="1:18" x14ac:dyDescent="0.3">
      <c r="A3" s="15" t="s">
        <v>103</v>
      </c>
      <c r="B3" s="14">
        <v>3.1752000000000002E-2</v>
      </c>
      <c r="C3" s="14">
        <v>6.7621000000000001E-2</v>
      </c>
      <c r="D3" s="14">
        <v>0.32684299999999999</v>
      </c>
      <c r="E3" s="14">
        <v>0.150728</v>
      </c>
      <c r="F3" s="14">
        <v>-2.8882999999999999E-2</v>
      </c>
      <c r="G3" s="14">
        <v>-4.1564999999999998E-2</v>
      </c>
      <c r="H3" s="25">
        <v>0.33965499999999998</v>
      </c>
    </row>
    <row r="4" spans="1:18" x14ac:dyDescent="0.3">
      <c r="A4" s="15" t="s">
        <v>104</v>
      </c>
      <c r="B4" s="14">
        <v>2.6481000000000001E-2</v>
      </c>
      <c r="C4" s="14">
        <v>3.8716E-2</v>
      </c>
      <c r="D4" s="14">
        <v>0.40227499999999999</v>
      </c>
      <c r="E4" s="14">
        <v>0.24354500000000001</v>
      </c>
      <c r="F4" s="14">
        <v>-0.136463</v>
      </c>
      <c r="G4" s="14">
        <v>-5.8527999999999997E-2</v>
      </c>
      <c r="H4" s="25">
        <v>0.35244500000000001</v>
      </c>
    </row>
    <row r="5" spans="1:18" x14ac:dyDescent="0.3">
      <c r="A5" s="15" t="s">
        <v>105</v>
      </c>
      <c r="B5" s="14">
        <v>2.1559999999999999E-2</v>
      </c>
      <c r="C5" s="14">
        <v>0.13717099999999999</v>
      </c>
      <c r="D5" s="14">
        <v>0.38317000000000001</v>
      </c>
      <c r="E5" s="14">
        <v>0.199936</v>
      </c>
      <c r="F5" s="14">
        <v>-0.15739400000000001</v>
      </c>
      <c r="G5" s="14">
        <v>-3.2506E-2</v>
      </c>
      <c r="H5" s="25">
        <v>0.33768900000000002</v>
      </c>
    </row>
    <row r="6" spans="1:18" x14ac:dyDescent="0.3">
      <c r="A6" s="15" t="s">
        <v>106</v>
      </c>
      <c r="B6" s="14">
        <v>1.7650000000000001E-3</v>
      </c>
      <c r="C6" s="14">
        <v>0.102481</v>
      </c>
      <c r="D6" s="14">
        <v>0.349885</v>
      </c>
      <c r="E6" s="14">
        <v>0.183861</v>
      </c>
      <c r="F6" s="14">
        <v>-0.25766299999999998</v>
      </c>
      <c r="G6" s="14">
        <v>-8.8278999999999996E-2</v>
      </c>
      <c r="H6" s="25">
        <v>0.29774499999999998</v>
      </c>
    </row>
    <row r="7" spans="1:18" x14ac:dyDescent="0.3">
      <c r="A7" s="15" t="s">
        <v>107</v>
      </c>
      <c r="B7" s="14">
        <v>-3.8499999999999998E-4</v>
      </c>
      <c r="C7" s="14">
        <v>2.317E-2</v>
      </c>
      <c r="D7" s="14">
        <v>0.31322499999999998</v>
      </c>
      <c r="E7" s="14">
        <v>0.13423299999999999</v>
      </c>
      <c r="F7" s="14">
        <v>-6.5419000000000005E-2</v>
      </c>
      <c r="G7" s="14">
        <v>-6.6115999999999994E-2</v>
      </c>
      <c r="H7" s="25">
        <v>0.34297499999999997</v>
      </c>
      <c r="M7" t="s">
        <v>111</v>
      </c>
      <c r="N7" t="s">
        <v>108</v>
      </c>
    </row>
    <row r="8" spans="1:18" x14ac:dyDescent="0.3">
      <c r="A8" s="15"/>
      <c r="B8" s="14"/>
      <c r="C8" s="14" t="s">
        <v>112</v>
      </c>
      <c r="D8" s="14" t="s">
        <v>112</v>
      </c>
      <c r="E8" s="14" t="s">
        <v>112</v>
      </c>
      <c r="F8" s="14" t="s">
        <v>112</v>
      </c>
      <c r="G8" s="14" t="s">
        <v>112</v>
      </c>
      <c r="H8" s="25" t="s">
        <v>112</v>
      </c>
      <c r="M8" s="12" cm="1">
        <f t="array" ref="M8">SUM(ABS(B9:H9))</f>
        <v>1.1482716000000002</v>
      </c>
      <c r="N8" s="12" cm="1">
        <f t="array" ref="N8">SUM(ABS(B10:H10))</f>
        <v>1.2282109999999999</v>
      </c>
      <c r="Q8" s="12"/>
      <c r="R8" s="12"/>
    </row>
    <row r="9" spans="1:18" x14ac:dyDescent="0.3">
      <c r="A9" s="15" t="s">
        <v>111</v>
      </c>
      <c r="B9" s="14">
        <f>AVERAGE(B3:B7)</f>
        <v>1.6234600000000002E-2</v>
      </c>
      <c r="C9" s="14">
        <f>AVERAGE(C3:C7)</f>
        <v>7.3831800000000003E-2</v>
      </c>
      <c r="D9" s="14">
        <f>AVERAGE(D3:D7)</f>
        <v>0.3550796</v>
      </c>
      <c r="E9" s="14">
        <f>AVERAGE(E3:E7)</f>
        <v>0.18246060000000003</v>
      </c>
      <c r="F9" s="14">
        <f>AVERAGE(F3:F7)</f>
        <v>-0.12916440000000001</v>
      </c>
      <c r="G9" s="14">
        <f>AVERAGE(G3:G7)</f>
        <v>-5.7398799999999993E-2</v>
      </c>
      <c r="H9" s="25">
        <f>AVERAGE(H3:H7)</f>
        <v>0.3341018</v>
      </c>
      <c r="L9" t="s">
        <v>97</v>
      </c>
      <c r="M9" s="13" cm="1">
        <f t="array" ref="M9:M15">TRANSPOSE(ABS(B9:H9)/M8)</f>
        <v>1.4138292717506903E-2</v>
      </c>
      <c r="N9" s="13" cm="1">
        <f t="array" ref="N9:N15">TRANSPOSE(ABS(B10:H10)/N8)</f>
        <v>1.4321643430973996E-2</v>
      </c>
      <c r="Q9" s="13"/>
      <c r="R9" s="13"/>
    </row>
    <row r="10" spans="1:18" x14ac:dyDescent="0.3">
      <c r="A10" s="15" t="s">
        <v>108</v>
      </c>
      <c r="B10" s="14">
        <v>1.7590000000000001E-2</v>
      </c>
      <c r="C10" s="14">
        <v>8.5203000000000001E-2</v>
      </c>
      <c r="D10" s="14">
        <v>0.374222</v>
      </c>
      <c r="E10" s="14">
        <v>0.19534599999999999</v>
      </c>
      <c r="F10" s="14">
        <v>-0.15032000000000001</v>
      </c>
      <c r="G10" s="14">
        <v>-6.0714999999999998E-2</v>
      </c>
      <c r="H10" s="25">
        <v>0.34481499999999998</v>
      </c>
      <c r="L10" t="s">
        <v>115</v>
      </c>
      <c r="M10" s="13">
        <v>6.4298202620355668E-2</v>
      </c>
      <c r="N10" s="13">
        <v>6.9371630770282966E-2</v>
      </c>
      <c r="Q10" s="13"/>
      <c r="R10" s="13"/>
    </row>
    <row r="11" spans="1:18" x14ac:dyDescent="0.3">
      <c r="A11" s="15"/>
      <c r="B11" s="14"/>
      <c r="C11" s="14" t="s">
        <v>112</v>
      </c>
      <c r="D11" s="14" t="s">
        <v>112</v>
      </c>
      <c r="E11" s="14" t="s">
        <v>112</v>
      </c>
      <c r="F11" s="14" t="s">
        <v>112</v>
      </c>
      <c r="G11" s="14" t="s">
        <v>112</v>
      </c>
      <c r="H11" s="25" t="s">
        <v>112</v>
      </c>
      <c r="L11" t="s">
        <v>114</v>
      </c>
      <c r="M11" s="13">
        <v>0.30922962825171324</v>
      </c>
      <c r="N11" s="13">
        <v>0.30468868948413591</v>
      </c>
      <c r="Q11" s="13"/>
      <c r="R11" s="13"/>
    </row>
    <row r="12" spans="1:18" ht="15" thickBot="1" x14ac:dyDescent="0.35">
      <c r="A12" s="17" t="s">
        <v>109</v>
      </c>
      <c r="B12" s="26">
        <v>-5.5710999999999997E-2</v>
      </c>
      <c r="C12" s="26">
        <v>5.9236999999999998E-2</v>
      </c>
      <c r="D12" s="26">
        <v>0.43781100000000001</v>
      </c>
      <c r="E12" s="26">
        <v>0.20558199999999999</v>
      </c>
      <c r="F12" s="26">
        <v>-3.8119E-2</v>
      </c>
      <c r="G12" s="26">
        <v>0.11970600000000001</v>
      </c>
      <c r="H12" s="27">
        <v>0.41468699999999997</v>
      </c>
      <c r="L12" t="s">
        <v>113</v>
      </c>
      <c r="M12" s="13">
        <v>0.15890021141339733</v>
      </c>
      <c r="N12" s="13">
        <v>0.15904921874173086</v>
      </c>
      <c r="Q12" s="13"/>
      <c r="R12" s="13"/>
    </row>
    <row r="13" spans="1:18" x14ac:dyDescent="0.3">
      <c r="A13" t="s">
        <v>110</v>
      </c>
      <c r="B13">
        <v>-8.2948999999999995E-2</v>
      </c>
      <c r="C13">
        <v>-3.0569999999999998E-3</v>
      </c>
      <c r="D13">
        <v>0.41237699999999999</v>
      </c>
      <c r="E13">
        <v>0.174924</v>
      </c>
      <c r="F13">
        <v>-0.15470999999999999</v>
      </c>
      <c r="G13">
        <v>2.6252000000000001E-2</v>
      </c>
      <c r="H13">
        <v>0.37839200000000001</v>
      </c>
      <c r="L13" t="s">
        <v>98</v>
      </c>
      <c r="M13" s="13">
        <v>0.11248593102886111</v>
      </c>
      <c r="N13" s="13">
        <v>0.12238939400477607</v>
      </c>
      <c r="Q13" s="13"/>
      <c r="R13" s="13"/>
    </row>
    <row r="14" spans="1:18" ht="15" thickBot="1" x14ac:dyDescent="0.35">
      <c r="L14" t="s">
        <v>99</v>
      </c>
      <c r="M14" s="13">
        <v>4.9987128480753144E-2</v>
      </c>
      <c r="N14" s="13">
        <v>4.9433688511176015E-2</v>
      </c>
      <c r="Q14" s="13"/>
      <c r="R14" s="13"/>
    </row>
    <row r="15" spans="1:18" x14ac:dyDescent="0.3">
      <c r="A15" s="22" t="s">
        <v>118</v>
      </c>
      <c r="B15" s="23" t="s">
        <v>97</v>
      </c>
      <c r="C15" s="23" t="s">
        <v>115</v>
      </c>
      <c r="D15" s="23" t="s">
        <v>114</v>
      </c>
      <c r="E15" s="23" t="s">
        <v>113</v>
      </c>
      <c r="F15" s="23" t="s">
        <v>98</v>
      </c>
      <c r="G15" s="23" t="s">
        <v>99</v>
      </c>
      <c r="H15" s="24" t="s">
        <v>100</v>
      </c>
      <c r="L15" t="s">
        <v>100</v>
      </c>
      <c r="M15" s="13">
        <v>0.29096060548741254</v>
      </c>
      <c r="N15" s="13">
        <v>0.28074573505692424</v>
      </c>
      <c r="Q15" s="13"/>
      <c r="R15" s="13"/>
    </row>
    <row r="16" spans="1:18" x14ac:dyDescent="0.3">
      <c r="A16" s="15" t="s">
        <v>103</v>
      </c>
      <c r="B16" s="14">
        <f>B3^2</f>
        <v>1.0081895040000002E-3</v>
      </c>
      <c r="C16" s="14">
        <f t="shared" ref="C16:H16" si="0">C3^2</f>
        <v>4.5725996409999997E-3</v>
      </c>
      <c r="D16" s="14">
        <f t="shared" si="0"/>
        <v>0.106826346649</v>
      </c>
      <c r="E16" s="14">
        <f t="shared" si="0"/>
        <v>2.2718929984000002E-2</v>
      </c>
      <c r="F16" s="14">
        <f t="shared" si="0"/>
        <v>8.3422768899999995E-4</v>
      </c>
      <c r="G16" s="14">
        <f t="shared" si="0"/>
        <v>1.7276492249999999E-3</v>
      </c>
      <c r="H16" s="25">
        <f t="shared" si="0"/>
        <v>0.11536551902499999</v>
      </c>
      <c r="M16">
        <f>SUM(_xlfn.ANCHORARRAY(M9))</f>
        <v>0.99999999999999989</v>
      </c>
      <c r="N16">
        <f>SUM(_xlfn.ANCHORARRAY(N9))</f>
        <v>1</v>
      </c>
    </row>
    <row r="17" spans="1:18" ht="15" thickBot="1" x14ac:dyDescent="0.35">
      <c r="A17" s="15" t="s">
        <v>104</v>
      </c>
      <c r="B17" s="14">
        <f t="shared" ref="B17:H17" si="1">B4^2</f>
        <v>7.0124336100000002E-4</v>
      </c>
      <c r="C17" s="14">
        <f t="shared" si="1"/>
        <v>1.498928656E-3</v>
      </c>
      <c r="D17" s="14">
        <f t="shared" si="1"/>
        <v>0.16182517562499998</v>
      </c>
      <c r="E17" s="14">
        <f t="shared" si="1"/>
        <v>5.9314167025000003E-2</v>
      </c>
      <c r="F17" s="14">
        <f t="shared" si="1"/>
        <v>1.8622150369000001E-2</v>
      </c>
      <c r="G17" s="14">
        <f t="shared" si="1"/>
        <v>3.4255267839999998E-3</v>
      </c>
      <c r="H17" s="25">
        <f t="shared" si="1"/>
        <v>0.12421747802500001</v>
      </c>
    </row>
    <row r="18" spans="1:18" x14ac:dyDescent="0.3">
      <c r="A18" s="15" t="s">
        <v>105</v>
      </c>
      <c r="B18" s="14">
        <f t="shared" ref="B18:H18" si="2">B5^2</f>
        <v>4.6483359999999999E-4</v>
      </c>
      <c r="C18" s="14">
        <f t="shared" si="2"/>
        <v>1.8815883240999996E-2</v>
      </c>
      <c r="D18" s="14">
        <f t="shared" si="2"/>
        <v>0.1468192489</v>
      </c>
      <c r="E18" s="14">
        <f t="shared" si="2"/>
        <v>3.9974404095999998E-2</v>
      </c>
      <c r="F18" s="14">
        <f t="shared" si="2"/>
        <v>2.4772871236000003E-2</v>
      </c>
      <c r="G18" s="14">
        <f t="shared" si="2"/>
        <v>1.056640036E-3</v>
      </c>
      <c r="H18" s="25">
        <f t="shared" si="2"/>
        <v>0.11403386072100001</v>
      </c>
      <c r="L18" s="19" t="s">
        <v>116</v>
      </c>
      <c r="M18" s="20"/>
    </row>
    <row r="19" spans="1:18" x14ac:dyDescent="0.3">
      <c r="A19" s="15" t="s">
        <v>106</v>
      </c>
      <c r="B19" s="14">
        <f t="shared" ref="B19:H19" si="3">B6^2</f>
        <v>3.1152250000000003E-6</v>
      </c>
      <c r="C19" s="14">
        <f t="shared" si="3"/>
        <v>1.0502355361E-2</v>
      </c>
      <c r="D19" s="14">
        <f t="shared" si="3"/>
        <v>0.122419513225</v>
      </c>
      <c r="E19" s="14">
        <f t="shared" si="3"/>
        <v>3.3804867321E-2</v>
      </c>
      <c r="F19" s="14">
        <f t="shared" si="3"/>
        <v>6.6390221568999985E-2</v>
      </c>
      <c r="G19" s="14">
        <f t="shared" si="3"/>
        <v>7.7931818409999994E-3</v>
      </c>
      <c r="H19" s="25">
        <f t="shared" si="3"/>
        <v>8.8652085024999994E-2</v>
      </c>
      <c r="L19" s="15" t="s">
        <v>97</v>
      </c>
      <c r="M19" s="16">
        <v>1.4138292717506903E-2</v>
      </c>
    </row>
    <row r="20" spans="1:18" x14ac:dyDescent="0.3">
      <c r="A20" s="15" t="s">
        <v>107</v>
      </c>
      <c r="B20" s="14">
        <f t="shared" ref="B20:H20" si="4">B7^2</f>
        <v>1.4822499999999999E-7</v>
      </c>
      <c r="C20" s="14">
        <f t="shared" si="4"/>
        <v>5.3684890000000002E-4</v>
      </c>
      <c r="D20" s="14">
        <f t="shared" si="4"/>
        <v>9.8109900624999982E-2</v>
      </c>
      <c r="E20" s="14">
        <f t="shared" si="4"/>
        <v>1.8018498288999998E-2</v>
      </c>
      <c r="F20" s="14">
        <f t="shared" si="4"/>
        <v>4.2796455610000003E-3</v>
      </c>
      <c r="G20" s="14">
        <f t="shared" si="4"/>
        <v>4.3713254559999996E-3</v>
      </c>
      <c r="H20" s="25">
        <f t="shared" si="4"/>
        <v>0.11763185062499998</v>
      </c>
      <c r="L20" s="15" t="s">
        <v>115</v>
      </c>
      <c r="M20" s="16">
        <v>6.4298202620355668E-2</v>
      </c>
    </row>
    <row r="21" spans="1:18" x14ac:dyDescent="0.3">
      <c r="A21" s="15"/>
      <c r="B21" s="14"/>
      <c r="C21" s="14"/>
      <c r="D21" s="14"/>
      <c r="E21" s="14"/>
      <c r="F21" s="14"/>
      <c r="G21" s="14"/>
      <c r="H21" s="25"/>
      <c r="L21" s="15" t="s">
        <v>114</v>
      </c>
      <c r="M21" s="16">
        <v>0.30922962825171324</v>
      </c>
    </row>
    <row r="22" spans="1:18" x14ac:dyDescent="0.3">
      <c r="A22" s="15" t="s">
        <v>111</v>
      </c>
      <c r="B22" s="14">
        <f t="shared" ref="B22:H22" si="5">B9^2</f>
        <v>2.6356223716000003E-4</v>
      </c>
      <c r="C22" s="14">
        <f t="shared" si="5"/>
        <v>5.4511346912400008E-3</v>
      </c>
      <c r="D22" s="14">
        <f t="shared" si="5"/>
        <v>0.12608152233615999</v>
      </c>
      <c r="E22" s="14">
        <f t="shared" si="5"/>
        <v>3.3291870552360013E-2</v>
      </c>
      <c r="F22" s="14">
        <f t="shared" si="5"/>
        <v>1.6683442227360002E-2</v>
      </c>
      <c r="G22" s="14">
        <f t="shared" si="5"/>
        <v>3.2946222414399992E-3</v>
      </c>
      <c r="H22" s="25">
        <f t="shared" si="5"/>
        <v>0.11162401276324001</v>
      </c>
      <c r="L22" s="15" t="s">
        <v>113</v>
      </c>
      <c r="M22" s="16">
        <v>0.15890021141339733</v>
      </c>
    </row>
    <row r="23" spans="1:18" x14ac:dyDescent="0.3">
      <c r="A23" s="15" t="s">
        <v>108</v>
      </c>
      <c r="B23" s="14">
        <f t="shared" ref="B23:H23" si="6">B10^2</f>
        <v>3.0940810000000004E-4</v>
      </c>
      <c r="C23" s="14">
        <f t="shared" si="6"/>
        <v>7.259551209E-3</v>
      </c>
      <c r="D23" s="14">
        <f t="shared" si="6"/>
        <v>0.14004210528399999</v>
      </c>
      <c r="E23" s="14">
        <f t="shared" si="6"/>
        <v>3.8160059715999999E-2</v>
      </c>
      <c r="F23" s="14">
        <f t="shared" si="6"/>
        <v>2.2596102400000002E-2</v>
      </c>
      <c r="G23" s="14">
        <f t="shared" si="6"/>
        <v>3.6863112249999998E-3</v>
      </c>
      <c r="H23" s="25">
        <f t="shared" si="6"/>
        <v>0.11889738422499999</v>
      </c>
      <c r="L23" s="15" t="s">
        <v>98</v>
      </c>
      <c r="M23" s="16">
        <v>0.11248593102886111</v>
      </c>
    </row>
    <row r="24" spans="1:18" x14ac:dyDescent="0.3">
      <c r="A24" s="15"/>
      <c r="B24" s="14"/>
      <c r="C24" s="14"/>
      <c r="D24" s="14"/>
      <c r="E24" s="14"/>
      <c r="F24" s="14"/>
      <c r="G24" s="14"/>
      <c r="H24" s="25"/>
      <c r="L24" s="15" t="s">
        <v>99</v>
      </c>
      <c r="M24" s="16">
        <v>4.9987128480753144E-2</v>
      </c>
    </row>
    <row r="25" spans="1:18" ht="15" thickBot="1" x14ac:dyDescent="0.35">
      <c r="A25" s="15" t="s">
        <v>109</v>
      </c>
      <c r="B25" s="14">
        <f t="shared" ref="B25:H25" si="7">B12^2</f>
        <v>3.1037155209999996E-3</v>
      </c>
      <c r="C25" s="14">
        <f t="shared" si="7"/>
        <v>3.5090221689999999E-3</v>
      </c>
      <c r="D25" s="14">
        <f t="shared" si="7"/>
        <v>0.191678471721</v>
      </c>
      <c r="E25" s="14">
        <f t="shared" si="7"/>
        <v>4.2263958723999996E-2</v>
      </c>
      <c r="F25" s="14">
        <f t="shared" si="7"/>
        <v>1.4530581609999999E-3</v>
      </c>
      <c r="G25" s="14">
        <f t="shared" si="7"/>
        <v>1.4329526436000002E-2</v>
      </c>
      <c r="H25" s="25">
        <f t="shared" si="7"/>
        <v>0.17196530796899998</v>
      </c>
      <c r="L25" s="17" t="s">
        <v>100</v>
      </c>
      <c r="M25" s="18">
        <v>0.29096060548741254</v>
      </c>
    </row>
    <row r="26" spans="1:18" ht="15" thickBot="1" x14ac:dyDescent="0.35">
      <c r="A26" s="17" t="s">
        <v>110</v>
      </c>
      <c r="B26" s="26">
        <f t="shared" ref="B26:H26" si="8">B13^2</f>
        <v>6.8805366009999994E-3</v>
      </c>
      <c r="C26" s="26">
        <f t="shared" si="8"/>
        <v>9.3452489999999989E-6</v>
      </c>
      <c r="D26" s="26">
        <f t="shared" si="8"/>
        <v>0.17005479012899999</v>
      </c>
      <c r="E26" s="26">
        <f t="shared" si="8"/>
        <v>3.0598405775999999E-2</v>
      </c>
      <c r="F26" s="26">
        <f t="shared" si="8"/>
        <v>2.3935184099999996E-2</v>
      </c>
      <c r="G26" s="26">
        <f t="shared" si="8"/>
        <v>6.8916750400000002E-4</v>
      </c>
      <c r="H26" s="27">
        <f t="shared" si="8"/>
        <v>0.14318050566400001</v>
      </c>
    </row>
    <row r="27" spans="1:18" x14ac:dyDescent="0.3">
      <c r="L27" s="22" t="s">
        <v>118</v>
      </c>
    </row>
    <row r="28" spans="1:18" x14ac:dyDescent="0.3">
      <c r="M28" t="s">
        <v>111</v>
      </c>
      <c r="N28" t="s">
        <v>108</v>
      </c>
    </row>
    <row r="29" spans="1:18" x14ac:dyDescent="0.3">
      <c r="M29" s="12" cm="1">
        <f t="array" ref="M29">SUM(ABS(B22:H22))</f>
        <v>0.29669016704896001</v>
      </c>
      <c r="N29" s="12" cm="1">
        <f t="array" ref="N29">SUM(ABS(B23:H23))</f>
        <v>0.33095092215900002</v>
      </c>
    </row>
    <row r="30" spans="1:18" x14ac:dyDescent="0.3">
      <c r="L30" t="s">
        <v>97</v>
      </c>
      <c r="M30" s="13" cm="1">
        <f t="array" ref="M30:M36">TRANSPOSE(ABS(B22:H22)/M29)</f>
        <v>8.8834166558848858E-4</v>
      </c>
      <c r="N30" s="13" cm="1">
        <f t="array" ref="N30:N36">TRANSPOSE(ABS(B23:H23)/N29)</f>
        <v>9.3490629360249951E-4</v>
      </c>
      <c r="Q30" t="s">
        <v>97</v>
      </c>
      <c r="R30" s="13">
        <v>8.8834166558848858E-4</v>
      </c>
    </row>
    <row r="31" spans="1:18" x14ac:dyDescent="0.3">
      <c r="L31" t="s">
        <v>115</v>
      </c>
      <c r="M31" s="13">
        <v>1.837315589343563E-2</v>
      </c>
      <c r="N31" s="13">
        <v>2.1935431276762739E-2</v>
      </c>
      <c r="Q31" t="s">
        <v>115</v>
      </c>
      <c r="R31" s="13">
        <v>1.837315589343563E-2</v>
      </c>
    </row>
    <row r="32" spans="1:18" x14ac:dyDescent="0.3">
      <c r="L32" t="s">
        <v>114</v>
      </c>
      <c r="M32" s="13">
        <v>0.42496023238732389</v>
      </c>
      <c r="N32" s="13">
        <v>0.42315067252394306</v>
      </c>
      <c r="Q32" t="s">
        <v>114</v>
      </c>
      <c r="R32" s="13">
        <v>0.42496023238732389</v>
      </c>
    </row>
    <row r="33" spans="12:18" x14ac:dyDescent="0.3">
      <c r="L33" t="s">
        <v>113</v>
      </c>
      <c r="M33" s="13">
        <v>0.11221089961793768</v>
      </c>
      <c r="N33" s="13">
        <v>0.11530428580484998</v>
      </c>
      <c r="Q33" t="s">
        <v>113</v>
      </c>
      <c r="R33" s="13">
        <v>0.11221089961793768</v>
      </c>
    </row>
    <row r="34" spans="12:18" x14ac:dyDescent="0.3">
      <c r="L34" t="s">
        <v>98</v>
      </c>
      <c r="M34" s="13">
        <v>5.6231867720128684E-2</v>
      </c>
      <c r="N34" s="13">
        <v>6.8276293815987821E-2</v>
      </c>
      <c r="Q34" t="s">
        <v>98</v>
      </c>
      <c r="R34" s="13">
        <v>5.6231867720128684E-2</v>
      </c>
    </row>
    <row r="35" spans="12:18" x14ac:dyDescent="0.3">
      <c r="L35" t="s">
        <v>99</v>
      </c>
      <c r="M35" s="13">
        <v>1.110458858212284E-2</v>
      </c>
      <c r="N35" s="13">
        <v>1.1138543446115466E-2</v>
      </c>
      <c r="Q35" t="s">
        <v>99</v>
      </c>
      <c r="R35" s="13">
        <v>1.110458858212284E-2</v>
      </c>
    </row>
    <row r="36" spans="12:18" x14ac:dyDescent="0.3">
      <c r="L36" t="s">
        <v>100</v>
      </c>
      <c r="M36" s="13">
        <v>0.37623091413346282</v>
      </c>
      <c r="N36" s="13">
        <v>0.35925986683873828</v>
      </c>
      <c r="Q36" t="s">
        <v>100</v>
      </c>
      <c r="R36" s="13">
        <v>0.37623091413346282</v>
      </c>
    </row>
    <row r="37" spans="12:18" x14ac:dyDescent="0.3">
      <c r="M37">
        <f>SUM(_xlfn.ANCHORARRAY(M30))</f>
        <v>1</v>
      </c>
      <c r="N37" s="21">
        <f>SUM(_xlfn.ANCHORARRAY(N30))</f>
        <v>0.99999999999999978</v>
      </c>
    </row>
    <row r="38" spans="12:18" ht="15" thickBot="1" x14ac:dyDescent="0.35"/>
    <row r="39" spans="12:18" x14ac:dyDescent="0.3">
      <c r="L39" s="19" t="s">
        <v>116</v>
      </c>
      <c r="M39" s="20"/>
    </row>
    <row r="40" spans="12:18" x14ac:dyDescent="0.3">
      <c r="L40" s="15" t="s">
        <v>97</v>
      </c>
      <c r="M40" s="16">
        <v>8.8834166558848858E-4</v>
      </c>
    </row>
    <row r="41" spans="12:18" x14ac:dyDescent="0.3">
      <c r="L41" s="15" t="s">
        <v>115</v>
      </c>
      <c r="M41" s="16">
        <v>1.837315589343563E-2</v>
      </c>
    </row>
    <row r="42" spans="12:18" x14ac:dyDescent="0.3">
      <c r="L42" s="15" t="s">
        <v>114</v>
      </c>
      <c r="M42" s="16">
        <v>0.42496023238732389</v>
      </c>
    </row>
    <row r="43" spans="12:18" x14ac:dyDescent="0.3">
      <c r="L43" s="15" t="s">
        <v>113</v>
      </c>
      <c r="M43" s="16">
        <v>0.11221089961793768</v>
      </c>
    </row>
    <row r="44" spans="12:18" x14ac:dyDescent="0.3">
      <c r="L44" s="15" t="s">
        <v>98</v>
      </c>
      <c r="M44" s="16">
        <v>5.6231867720128684E-2</v>
      </c>
    </row>
    <row r="45" spans="12:18" x14ac:dyDescent="0.3">
      <c r="L45" s="15" t="s">
        <v>99</v>
      </c>
      <c r="M45" s="16">
        <v>1.110458858212284E-2</v>
      </c>
    </row>
    <row r="46" spans="12:18" ht="15" thickBot="1" x14ac:dyDescent="0.35">
      <c r="L46" s="17" t="s">
        <v>100</v>
      </c>
      <c r="M46" s="18">
        <v>0.37623091413346282</v>
      </c>
    </row>
  </sheetData>
  <mergeCells count="2">
    <mergeCell ref="L18:M18"/>
    <mergeCell ref="L39:M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Habitantes</vt:lpstr>
      <vt:lpstr>Homicidios</vt:lpstr>
      <vt:lpstr>Lesiones Personales</vt:lpstr>
      <vt:lpstr>Violencia Intrafamiliar</vt:lpstr>
      <vt:lpstr>Delitos Sexuales</vt:lpstr>
      <vt:lpstr>Extorsión</vt:lpstr>
      <vt:lpstr>Amenazas</vt:lpstr>
      <vt:lpstr>Hurtos</vt:lpstr>
      <vt:lpstr>Secuestro</vt:lpstr>
      <vt:lpstr>Todos los Datos</vt:lpstr>
      <vt:lpstr>Todos los Datos (2)</vt:lpstr>
      <vt:lpstr>Hoja1</vt:lpstr>
      <vt:lpstr>Indices</vt:lpstr>
      <vt:lpstr>Porcentajes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IGNACIO VARGAS BOCANEGRA</dc:creator>
  <cp:lastModifiedBy>Juan Camilo Gomez Uribe</cp:lastModifiedBy>
  <dcterms:created xsi:type="dcterms:W3CDTF">2025-08-13T16:22:55Z</dcterms:created>
  <dcterms:modified xsi:type="dcterms:W3CDTF">2026-02-25T19:23:34Z</dcterms:modified>
</cp:coreProperties>
</file>